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PR Log" sheetId="2" r:id="rId5"/>
    <sheet state="visible" name="Warm-up Calculator" sheetId="3" r:id="rId6"/>
    <sheet state="visible" name="Session A" sheetId="4" r:id="rId7"/>
    <sheet state="visible" name="Session B" sheetId="5" r:id="rId8"/>
  </sheets>
  <definedNames/>
  <calcPr/>
  <extLst>
    <ext uri="GoogleSheetsCustomDataVersion2">
      <go:sheetsCustomData xmlns:go="http://customooxmlschemas.google.com/" r:id="rId9" roundtripDataChecksum="oIvbTqcVSMdYaveIHWDw++P4jp5ImOby2SHMPhl/tak="/>
    </ext>
  </extLst>
</workbook>
</file>

<file path=xl/sharedStrings.xml><?xml version="1.0" encoding="utf-8"?>
<sst xmlns="http://schemas.openxmlformats.org/spreadsheetml/2006/main" count="1619" uniqueCount="192">
  <si>
    <t>UPPER BODY PROGRAM - DASHBOARD</t>
  </si>
  <si>
    <t>📅 CONSISTENCY TRACKER</t>
  </si>
  <si>
    <t>Week</t>
  </si>
  <si>
    <t>Push Date</t>
  </si>
  <si>
    <t>Push Done?</t>
  </si>
  <si>
    <t>Pull Date</t>
  </si>
  <si>
    <t>Pull Done?</t>
  </si>
  <si>
    <t>Week Complete?</t>
  </si>
  <si>
    <t>Week 1</t>
  </si>
  <si>
    <t>YES</t>
  </si>
  <si>
    <t>Week 2</t>
  </si>
  <si>
    <t>Yes</t>
  </si>
  <si>
    <t>Week 3</t>
  </si>
  <si>
    <t>Week 4</t>
  </si>
  <si>
    <t>Week 5</t>
  </si>
  <si>
    <t>Week 6</t>
  </si>
  <si>
    <t>Week 7</t>
  </si>
  <si>
    <t>Week 8</t>
  </si>
  <si>
    <t>TOTALS:</t>
  </si>
  <si>
    <t>Current Streak:</t>
  </si>
  <si>
    <t>Completion Rate:</t>
  </si>
  <si>
    <t>📊 SESSION VOLUME OVERVIEW</t>
  </si>
  <si>
    <t>Session A</t>
  </si>
  <si>
    <t>Session B</t>
  </si>
  <si>
    <t>Total Volume</t>
  </si>
  <si>
    <t>Progress %</t>
  </si>
  <si>
    <t>-</t>
  </si>
  <si>
    <t>🎯 WEEKLY SETS PER MUSCLE (vs Recommended 10-20 sets/week)</t>
  </si>
  <si>
    <t>Muscle</t>
  </si>
  <si>
    <t>Average</t>
  </si>
  <si>
    <t>Status</t>
  </si>
  <si>
    <t>Chest</t>
  </si>
  <si>
    <t>Shoulders</t>
  </si>
  <si>
    <t>Triceps</t>
  </si>
  <si>
    <t>Back</t>
  </si>
  <si>
    <t>Rear Delts</t>
  </si>
  <si>
    <t>Biceps</t>
  </si>
  <si>
    <t>Core</t>
  </si>
  <si>
    <t>📈 VOLUME BY MUSCLE GROUP</t>
  </si>
  <si>
    <t>📏 BODY MEASUREMENTS</t>
  </si>
  <si>
    <t>Date</t>
  </si>
  <si>
    <t>Weight (kg)</t>
  </si>
  <si>
    <t>Chest (cm)</t>
  </si>
  <si>
    <t>Shoulders (cm)</t>
  </si>
  <si>
    <t>L Arm (cm)</t>
  </si>
  <si>
    <t>R Arm (cm)</t>
  </si>
  <si>
    <t>Waist (cm)</t>
  </si>
  <si>
    <t>Notes</t>
  </si>
  <si>
    <t>Start</t>
  </si>
  <si>
    <t>Saturday</t>
  </si>
  <si>
    <t>Week 12</t>
  </si>
  <si>
    <t>CHANGE:</t>
  </si>
  <si>
    <t>🏆 PERSONAL RECORDS LOG</t>
  </si>
  <si>
    <t>Exercise</t>
  </si>
  <si>
    <t>Reps</t>
  </si>
  <si>
    <t>Est. 1RM</t>
  </si>
  <si>
    <t>Previous 1RM</t>
  </si>
  <si>
    <t>Barbell Bench Press</t>
  </si>
  <si>
    <t>45° Incline DB Press</t>
  </si>
  <si>
    <t>Seated DB Shoulder Press</t>
  </si>
  <si>
    <t>Neutral-Grip Lat Pulldown</t>
  </si>
  <si>
    <t>Chest-Supported Row</t>
  </si>
  <si>
    <t>Single-Arm DB Row</t>
  </si>
  <si>
    <t>EZ-Bar Curl</t>
  </si>
  <si>
    <t>Overhead Triceps Extension</t>
  </si>
  <si>
    <t>🔥 WARM-UP WEIGHT CALCULATOR</t>
  </si>
  <si>
    <t>Enter your target working weight and get warm-up weights automatically.</t>
  </si>
  <si>
    <t>Target Weight</t>
  </si>
  <si>
    <t>Warm-up 1 (50%)</t>
  </si>
  <si>
    <t>Warm-up 2 (70%)</t>
  </si>
  <si>
    <t>Warm-up 3 (85%)</t>
  </si>
  <si>
    <t>SESSION A</t>
  </si>
  <si>
    <t>💪 Complete 1x per week | Alternate with the other session for 2x weekly frequency per muscle group | Rest 2-3 min (compounds), 60-90 sec (isolation)</t>
  </si>
  <si>
    <t>Type</t>
  </si>
  <si>
    <t>Muscles Worked</t>
  </si>
  <si>
    <t>PUSH</t>
  </si>
  <si>
    <t>Chest, Front Delts, Triceps</t>
  </si>
  <si>
    <t>PULL</t>
  </si>
  <si>
    <t>Lats, Biceps, Rear Delts</t>
  </si>
  <si>
    <t>Seated Dumbbell Shoulder Press</t>
  </si>
  <si>
    <t>Shoulders (All), Triceps</t>
  </si>
  <si>
    <t>Chest-Supported Machine Row</t>
  </si>
  <si>
    <t>Mid Back, Lats, Biceps</t>
  </si>
  <si>
    <t>Dumbbell Flye</t>
  </si>
  <si>
    <t>Chest (Stretch), Front Delts</t>
  </si>
  <si>
    <t>EZ-Bar or Dumbbell Curl</t>
  </si>
  <si>
    <t>Dead Bug</t>
  </si>
  <si>
    <t>CORE</t>
  </si>
  <si>
    <t>Core (Anti-Extension)</t>
  </si>
  <si>
    <t>WEEK 1 - 2 SETS, RPE 7</t>
  </si>
  <si>
    <t>Flat Dumbbell Press / Machine Press instead</t>
  </si>
  <si>
    <t>🎯 Chest, Front Delts, Triceps</t>
  </si>
  <si>
    <t>Set Type</t>
  </si>
  <si>
    <t>Target Reps</t>
  </si>
  <si>
    <t>Target RPE</t>
  </si>
  <si>
    <t>Actual Reps</t>
  </si>
  <si>
    <t>Actual RPE</t>
  </si>
  <si>
    <t>Set Volume</t>
  </si>
  <si>
    <t>Session</t>
  </si>
  <si>
    <t>Sets Count</t>
  </si>
  <si>
    <t>Warm-up 1</t>
  </si>
  <si>
    <t>8-10</t>
  </si>
  <si>
    <t>Warm-up 2</t>
  </si>
  <si>
    <t>5-6</t>
  </si>
  <si>
    <t>Warm-up 3</t>
  </si>
  <si>
    <t>3-4</t>
  </si>
  <si>
    <t>Working 1</t>
  </si>
  <si>
    <t>Working 2</t>
  </si>
  <si>
    <t>Exercise Volume</t>
  </si>
  <si>
    <t>Substitutions:</t>
  </si>
  <si>
    <t>DB Bench Press, Machine Chest Press</t>
  </si>
  <si>
    <t>Form Notes:</t>
  </si>
  <si>
    <t>Pause 1 sec at bottom. Retract shoulder blades.</t>
  </si>
  <si>
    <t>🎯 Lats, Biceps, Rear Delts</t>
  </si>
  <si>
    <t>10-12</t>
  </si>
  <si>
    <t>6-8</t>
  </si>
  <si>
    <t>Wide-Grip Pulldown, Assisted Pull-ups</t>
  </si>
  <si>
    <t>Lean back slightly. Pull to chest.</t>
  </si>
  <si>
    <t>🎯 Shoulders (All), Triceps</t>
  </si>
  <si>
    <t>Standing DB Press, Arnold Press</t>
  </si>
  <si>
    <t>Elbows break 90°. Core tight.</t>
  </si>
  <si>
    <t>🎯 Mid Back, Lats, Biceps</t>
  </si>
  <si>
    <t>T-Bar Row, Incline DB Row</t>
  </si>
  <si>
    <t>Squeeze shoulder blades.</t>
  </si>
  <si>
    <t>Dumbells fly</t>
  </si>
  <si>
    <t>🎯 Chest (Stretch), Front Delts</t>
  </si>
  <si>
    <t>Pec Deck Machine, Floor Flye</t>
  </si>
  <si>
    <t>Deep stretch at bottom.</t>
  </si>
  <si>
    <t>🎯 Biceps</t>
  </si>
  <si>
    <t>Cable Curl, Machine Curl</t>
  </si>
  <si>
    <t>No swinging. Control negative.</t>
  </si>
  <si>
    <t>Triceps cable extension</t>
  </si>
  <si>
    <t>🎯 Triceps</t>
  </si>
  <si>
    <t>SESSION 1 SUMMARY</t>
  </si>
  <si>
    <t>Total Volume:</t>
  </si>
  <si>
    <t>Total Sets:</t>
  </si>
  <si>
    <t>WEEK 2 - 2 SETS, RPE 8</t>
  </si>
  <si>
    <t xml:space="preserve">Flat Dumbbell Press </t>
  </si>
  <si>
    <t>Cable Curl</t>
  </si>
  <si>
    <t>🎯 Core (Anti-Extension)</t>
  </si>
  <si>
    <t>WEEK 3 - 2 SETS, RPE 8</t>
  </si>
  <si>
    <t>WEEK 4 - 2 SETS, RPE 8</t>
  </si>
  <si>
    <t>SESSION B</t>
  </si>
  <si>
    <t>45° Incline Dumbbell Press</t>
  </si>
  <si>
    <t>Upper Chest, Front Delts, Triceps</t>
  </si>
  <si>
    <t>Single-Arm Dumbbell Row</t>
  </si>
  <si>
    <t>Lats, Mid Back, Biceps</t>
  </si>
  <si>
    <t>Dumbbell Lateral Raise</t>
  </si>
  <si>
    <t>Side Delts</t>
  </si>
  <si>
    <t>Face Pull (Band or Cable)</t>
  </si>
  <si>
    <t>Rear Delts, Upper Back</t>
  </si>
  <si>
    <t>Overhead Triceps Extension (DB)</t>
  </si>
  <si>
    <t>Triceps (Long Head)</t>
  </si>
  <si>
    <t>Incline Dumbbell Curl</t>
  </si>
  <si>
    <t>Biceps (Long Head)</t>
  </si>
  <si>
    <t>Bird-Dog</t>
  </si>
  <si>
    <t>Core (Anti-Rotation), Glutes</t>
  </si>
  <si>
    <t>🎯 Upper Chest, Front Delts, Triceps</t>
  </si>
  <si>
    <t>Incline Barbell Press, Incline Machine</t>
  </si>
  <si>
    <t>Elbows at 45°. Full stretch at bottom.</t>
  </si>
  <si>
    <t>Peck Deck Machine, Peck Fly Instead</t>
  </si>
  <si>
    <t>Pecks</t>
  </si>
  <si>
    <t>Peck fly DB</t>
  </si>
  <si>
    <t>Cable Machine Row</t>
  </si>
  <si>
    <t>🎯 Lats, Mid Back, Biceps</t>
  </si>
  <si>
    <t>Pull to hip. Full stretch.</t>
  </si>
  <si>
    <t>🎯 Side Delts</t>
  </si>
  <si>
    <t>12-15</t>
  </si>
  <si>
    <t>Band Lateral Raise, Leaning Lateral Raise</t>
  </si>
  <si>
    <t>Lean forward. Lead with elbows.</t>
  </si>
  <si>
    <t>🎯 Rear Delts, Upper Back</t>
  </si>
  <si>
    <t>Reverse Pec Deck, Rear Delt Flye</t>
  </si>
  <si>
    <t>Pull to face. External rotate.</t>
  </si>
  <si>
    <t>OverHead Cable Triceps</t>
  </si>
  <si>
    <t>🎯 Triceps (Long Head)</t>
  </si>
  <si>
    <t>Skull Crushers, Tricep Dips</t>
  </si>
  <si>
    <t>Elbows forward. Full stretch.</t>
  </si>
  <si>
    <t>Cable Bicep Curl</t>
  </si>
  <si>
    <t>🎯 Biceps (Long Head)</t>
  </si>
  <si>
    <t>Preacher Curl, Spider Curl</t>
  </si>
  <si>
    <t>Arms hang straight. Big stretch.</t>
  </si>
  <si>
    <t>Cable Crunch</t>
  </si>
  <si>
    <t>Seated Cable Row, Machine Row</t>
  </si>
  <si>
    <t>10-12/side</t>
  </si>
  <si>
    <t>🎯 Core (Anti-Rotation), Glutes</t>
  </si>
  <si>
    <t>Superman Hold, Back Extension</t>
  </si>
  <si>
    <t>Back flat, no rotation.</t>
  </si>
  <si>
    <t>SESSION 2 SUMMARY</t>
  </si>
  <si>
    <t>WEEK 3 - 3 SETS, RPE 8</t>
  </si>
  <si>
    <t>Working 3</t>
  </si>
  <si>
    <t>12-15/side</t>
  </si>
  <si>
    <t>WEEK 4 - 3 SETS, RPE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</si>
</sst>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"/>
    <numFmt numFmtId="165" formatCode="m/d"/>
    <numFmt numFmtId="166" formatCode="+0.0%;-0.0%"/>
    <numFmt numFmtId="167" formatCode="m-d"/>
  </numFmts>
  <fonts count="20">
    <font>
      <sz val="11.0"/>
      <color rgb="FF000000"/>
      <name val="Arial"/>
      <scheme val="minor"/>
    </font>
    <font>
      <b/>
      <sz val="16.0"/>
      <color rgb="FFFFFFFF"/>
      <name val="Arial"/>
      <scheme val="minor"/>
    </font>
    <font/>
    <font>
      <b/>
      <sz val="14.0"/>
      <color rgb="FFFFFFFF"/>
      <name val="Arial"/>
      <scheme val="minor"/>
    </font>
    <font>
      <b/>
      <color rgb="FFFFFFFF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i/>
      <sz val="9.0"/>
      <color theme="1"/>
      <name val="Arial"/>
      <scheme val="minor"/>
    </font>
    <font>
      <b/>
      <sz val="11.0"/>
      <color theme="1"/>
      <name val="Arial"/>
      <scheme val="minor"/>
    </font>
    <font>
      <b/>
      <color rgb="FF0070C0"/>
      <name val="Arial"/>
      <scheme val="minor"/>
    </font>
    <font>
      <b/>
      <color rgb="FF00B050"/>
      <name val="Arial"/>
      <scheme val="minor"/>
    </font>
    <font>
      <b/>
      <sz val="13.0"/>
      <color rgb="FFFFFFFF"/>
      <name val="Arial"/>
      <scheme val="minor"/>
    </font>
    <font>
      <i/>
      <sz val="9.0"/>
      <color rgb="FF666666"/>
      <name val="Arial"/>
      <scheme val="minor"/>
    </font>
    <font>
      <b/>
      <sz val="13.0"/>
      <color rgb="FFFFFFFF"/>
      <name val="Arial"/>
    </font>
    <font>
      <sz val="11.0"/>
      <color theme="1"/>
      <name val="Arial"/>
    </font>
    <font>
      <b/>
      <sz val="11.0"/>
      <color rgb="FFFFFFFF"/>
      <name val="Arial"/>
    </font>
    <font>
      <i/>
      <sz val="9.0"/>
      <color rgb="FF666666"/>
      <name val="Arial"/>
    </font>
    <font>
      <b/>
      <sz val="11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CFFAFE"/>
        <bgColor rgb="FFCFFAFE"/>
      </patternFill>
    </fill>
    <fill>
      <patternFill patternType="solid">
        <fgColor rgb="FF4A5568"/>
        <bgColor rgb="FF4A5568"/>
      </patternFill>
    </fill>
    <fill>
      <patternFill patternType="solid">
        <fgColor rgb="FFFED7AA"/>
        <bgColor rgb="FFFED7AA"/>
      </patternFill>
    </fill>
    <fill>
      <patternFill patternType="solid">
        <fgColor rgb="FF2D3748"/>
        <bgColor rgb="FF2D3748"/>
      </patternFill>
    </fill>
    <fill>
      <patternFill patternType="solid">
        <fgColor rgb="FFFCE7F3"/>
        <bgColor rgb="FFFCE7F3"/>
      </patternFill>
    </fill>
    <fill>
      <patternFill patternType="solid">
        <fgColor rgb="FFFEF3C7"/>
        <bgColor rgb="FFFEF3C7"/>
      </patternFill>
    </fill>
    <fill>
      <patternFill patternType="solid">
        <fgColor rgb="FFC6F6D5"/>
        <bgColor rgb="FFC6F6D5"/>
      </patternFill>
    </fill>
    <fill>
      <patternFill patternType="solid">
        <fgColor rgb="FFE2E8F0"/>
        <bgColor rgb="FFE2E8F0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718096"/>
        <bgColor rgb="FF718096"/>
      </patternFill>
    </fill>
    <fill>
      <patternFill patternType="solid">
        <fgColor rgb="FFF4CCCC"/>
        <bgColor rgb="FFF4CCCC"/>
      </patternFill>
    </fill>
    <fill>
      <patternFill patternType="solid">
        <fgColor rgb="FFE9D5FF"/>
        <bgColor rgb="FFE9D5FF"/>
      </patternFill>
    </fill>
    <fill>
      <patternFill patternType="solid">
        <fgColor rgb="FFDBEAFE"/>
        <bgColor rgb="FFDBEAFE"/>
      </patternFill>
    </fill>
  </fills>
  <borders count="9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3" fontId="3" numFmtId="0" xfId="0" applyBorder="1" applyFill="1" applyFont="1"/>
    <xf borderId="3" fillId="4" fontId="4" numFmtId="0" xfId="0" applyAlignment="1" applyBorder="1" applyFill="1" applyFont="1">
      <alignment horizontal="center"/>
    </xf>
    <xf borderId="3" fillId="0" fontId="5" numFmtId="0" xfId="0" applyAlignment="1" applyBorder="1" applyFont="1">
      <alignment horizontal="center"/>
    </xf>
    <xf borderId="3" fillId="0" fontId="5" numFmtId="164" xfId="0" applyAlignment="1" applyBorder="1" applyFont="1" applyNumberFormat="1">
      <alignment horizontal="center" readingOrder="0"/>
    </xf>
    <xf borderId="3" fillId="0" fontId="5" numFmtId="0" xfId="0" applyAlignment="1" applyBorder="1" applyFont="1">
      <alignment horizontal="center" readingOrder="0"/>
    </xf>
    <xf borderId="3" fillId="0" fontId="5" numFmtId="165" xfId="0" applyAlignment="1" applyBorder="1" applyFont="1" applyNumberFormat="1">
      <alignment horizontal="center" readingOrder="0"/>
    </xf>
    <xf borderId="3" fillId="5" fontId="6" numFmtId="0" xfId="0" applyBorder="1" applyFill="1" applyFont="1"/>
    <xf borderId="3" fillId="0" fontId="5" numFmtId="0" xfId="0" applyBorder="1" applyFont="1"/>
    <xf borderId="0" fillId="0" fontId="6" numFmtId="0" xfId="0" applyFont="1"/>
    <xf borderId="4" fillId="3" fontId="7" numFmtId="0" xfId="0" applyBorder="1" applyFont="1"/>
    <xf borderId="4" fillId="3" fontId="7" numFmtId="9" xfId="0" applyBorder="1" applyFont="1" applyNumberFormat="1"/>
    <xf borderId="1" fillId="6" fontId="3" numFmtId="0" xfId="0" applyBorder="1" applyFill="1" applyFont="1"/>
    <xf borderId="3" fillId="0" fontId="5" numFmtId="166" xfId="0" applyAlignment="1" applyBorder="1" applyFont="1" applyNumberFormat="1">
      <alignment horizontal="center"/>
    </xf>
    <xf borderId="3" fillId="0" fontId="6" numFmtId="0" xfId="0" applyBorder="1" applyFont="1"/>
    <xf borderId="3" fillId="0" fontId="5" numFmtId="166" xfId="0" applyBorder="1" applyFont="1" applyNumberFormat="1"/>
    <xf borderId="1" fillId="7" fontId="3" numFmtId="0" xfId="0" applyBorder="1" applyFill="1" applyFont="1"/>
    <xf borderId="5" fillId="0" fontId="2" numFmtId="0" xfId="0" applyBorder="1" applyFont="1"/>
    <xf borderId="4" fillId="5" fontId="6" numFmtId="0" xfId="0" applyBorder="1" applyFont="1"/>
    <xf borderId="3" fillId="5" fontId="6" numFmtId="0" xfId="0" applyAlignment="1" applyBorder="1" applyFont="1">
      <alignment horizontal="center"/>
    </xf>
    <xf borderId="3" fillId="8" fontId="5" numFmtId="0" xfId="0" applyAlignment="1" applyBorder="1" applyFill="1" applyFont="1">
      <alignment horizontal="center"/>
    </xf>
    <xf borderId="4" fillId="2" fontId="1" numFmtId="0" xfId="0" applyAlignment="1" applyBorder="1" applyFont="1">
      <alignment horizontal="center"/>
    </xf>
    <xf borderId="0" fillId="0" fontId="8" numFmtId="0" xfId="0" applyFont="1"/>
    <xf borderId="3" fillId="9" fontId="5" numFmtId="0" xfId="0" applyAlignment="1" applyBorder="1" applyFill="1" applyFont="1">
      <alignment horizontal="center"/>
    </xf>
    <xf borderId="3" fillId="10" fontId="5" numFmtId="0" xfId="0" applyAlignment="1" applyBorder="1" applyFill="1" applyFont="1">
      <alignment horizontal="center"/>
    </xf>
    <xf borderId="1" fillId="11" fontId="1" numFmtId="0" xfId="0" applyAlignment="1" applyBorder="1" applyFill="1" applyFont="1">
      <alignment horizontal="center" vertical="center"/>
    </xf>
    <xf borderId="0" fillId="0" fontId="9" numFmtId="0" xfId="0" applyAlignment="1" applyFont="1">
      <alignment shrinkToFit="0" wrapText="1"/>
    </xf>
    <xf borderId="4" fillId="12" fontId="10" numFmtId="0" xfId="0" applyBorder="1" applyFill="1" applyFont="1"/>
    <xf borderId="1" fillId="12" fontId="10" numFmtId="0" xfId="0" applyBorder="1" applyFont="1"/>
    <xf borderId="0" fillId="0" fontId="11" numFmtId="0" xfId="0" applyFont="1"/>
    <xf borderId="0" fillId="0" fontId="9" numFmtId="0" xfId="0" applyFont="1"/>
    <xf borderId="0" fillId="0" fontId="12" numFmtId="0" xfId="0" applyFont="1"/>
    <xf borderId="1" fillId="13" fontId="13" numFmtId="0" xfId="0" applyAlignment="1" applyBorder="1" applyFill="1" applyFont="1">
      <alignment horizontal="center" vertical="center"/>
    </xf>
    <xf borderId="6" fillId="14" fontId="4" numFmtId="0" xfId="0" applyAlignment="1" applyBorder="1" applyFill="1" applyFont="1">
      <alignment readingOrder="0"/>
    </xf>
    <xf borderId="7" fillId="0" fontId="2" numFmtId="0" xfId="0" applyBorder="1" applyFont="1"/>
    <xf borderId="8" fillId="0" fontId="2" numFmtId="0" xfId="0" applyBorder="1" applyFont="1"/>
    <xf borderId="7" fillId="0" fontId="5" numFmtId="0" xfId="0" applyBorder="1" applyFont="1"/>
    <xf borderId="7" fillId="0" fontId="14" numFmtId="0" xfId="0" applyAlignment="1" applyBorder="1" applyFont="1">
      <alignment shrinkToFit="0" wrapText="1"/>
    </xf>
    <xf borderId="8" fillId="0" fontId="5" numFmtId="0" xfId="0" applyBorder="1" applyFont="1"/>
    <xf borderId="3" fillId="15" fontId="5" numFmtId="0" xfId="0" applyAlignment="1" applyBorder="1" applyFill="1" applyFont="1">
      <alignment horizontal="center" readingOrder="0"/>
    </xf>
    <xf borderId="3" fillId="8" fontId="6" numFmtId="0" xfId="0" applyBorder="1" applyFont="1"/>
    <xf borderId="3" fillId="16" fontId="5" numFmtId="0" xfId="0" applyAlignment="1" applyBorder="1" applyFill="1" applyFont="1">
      <alignment horizontal="center"/>
    </xf>
    <xf borderId="6" fillId="14" fontId="4" numFmtId="0" xfId="0" applyBorder="1" applyFont="1"/>
    <xf borderId="3" fillId="10" fontId="5" numFmtId="0" xfId="0" applyAlignment="1" applyBorder="1" applyFont="1">
      <alignment horizontal="center" readingOrder="0"/>
    </xf>
    <xf borderId="3" fillId="0" fontId="5" numFmtId="167" xfId="0" applyAlignment="1" applyBorder="1" applyFont="1" applyNumberFormat="1">
      <alignment horizontal="center" readingOrder="0"/>
    </xf>
    <xf borderId="0" fillId="0" fontId="8" numFmtId="0" xfId="0" applyFont="1"/>
    <xf borderId="3" fillId="4" fontId="14" numFmtId="0" xfId="0" applyAlignment="1" applyBorder="1" applyFont="1">
      <alignment shrinkToFit="0" wrapText="1"/>
    </xf>
    <xf borderId="7" fillId="14" fontId="4" numFmtId="0" xfId="0" applyBorder="1" applyFont="1"/>
    <xf borderId="8" fillId="14" fontId="4" numFmtId="0" xfId="0" applyBorder="1" applyFont="1"/>
    <xf borderId="3" fillId="0" fontId="14" numFmtId="0" xfId="0" applyAlignment="1" applyBorder="1" applyFont="1">
      <alignment readingOrder="0" shrinkToFit="0" wrapText="1"/>
    </xf>
    <xf borderId="3" fillId="0" fontId="14" numFmtId="0" xfId="0" applyAlignment="1" applyBorder="1" applyFont="1">
      <alignment shrinkToFit="0" wrapText="1"/>
    </xf>
    <xf borderId="0" fillId="0" fontId="4" numFmtId="0" xfId="0" applyFont="1"/>
    <xf borderId="0" fillId="0" fontId="5" numFmtId="0" xfId="0" applyFont="1"/>
    <xf borderId="6" fillId="17" fontId="4" numFmtId="0" xfId="0" applyBorder="1" applyFill="1" applyFont="1"/>
    <xf borderId="3" fillId="16" fontId="6" numFmtId="0" xfId="0" applyBorder="1" applyFont="1"/>
    <xf borderId="3" fillId="16" fontId="5" numFmtId="0" xfId="0" applyAlignment="1" applyBorder="1" applyFont="1">
      <alignment horizontal="center" readingOrder="0"/>
    </xf>
    <xf borderId="0" fillId="0" fontId="13" numFmtId="0" xfId="0" applyAlignment="1" applyFont="1">
      <alignment horizontal="center" vertical="center"/>
    </xf>
    <xf borderId="1" fillId="13" fontId="13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/>
    </xf>
    <xf borderId="1" fillId="13" fontId="15" numFmtId="0" xfId="0" applyAlignment="1" applyBorder="1" applyFont="1">
      <alignment horizontal="center" readingOrder="0"/>
    </xf>
    <xf borderId="0" fillId="0" fontId="16" numFmtId="0" xfId="0" applyAlignment="1" applyFont="1">
      <alignment vertical="bottom"/>
    </xf>
    <xf borderId="6" fillId="14" fontId="17" numFmtId="0" xfId="0" applyAlignment="1" applyBorder="1" applyFont="1">
      <alignment vertical="bottom"/>
    </xf>
    <xf borderId="7" fillId="0" fontId="16" numFmtId="0" xfId="0" applyAlignment="1" applyBorder="1" applyFont="1">
      <alignment vertical="bottom"/>
    </xf>
    <xf borderId="7" fillId="0" fontId="18" numFmtId="0" xfId="0" applyAlignment="1" applyBorder="1" applyFont="1">
      <alignment shrinkToFit="0" vertical="bottom" wrapText="1"/>
    </xf>
    <xf borderId="8" fillId="0" fontId="16" numFmtId="0" xfId="0" applyAlignment="1" applyBorder="1" applyFont="1">
      <alignment vertical="bottom"/>
    </xf>
    <xf borderId="3" fillId="4" fontId="17" numFmtId="0" xfId="0" applyAlignment="1" applyBorder="1" applyFont="1">
      <alignment horizontal="center" vertical="bottom"/>
    </xf>
    <xf borderId="3" fillId="4" fontId="17" numFmtId="0" xfId="0" applyAlignment="1" applyBorder="1" applyFont="1">
      <alignment horizontal="center" vertical="bottom"/>
    </xf>
    <xf borderId="3" fillId="1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3" fillId="0" fontId="16" numFmtId="0" xfId="0" applyAlignment="1" applyBorder="1" applyFont="1">
      <alignment vertical="bottom"/>
    </xf>
    <xf borderId="3" fillId="1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3" fillId="0" fontId="16" numFmtId="0" xfId="0" applyAlignment="1" applyBorder="1" applyFont="1">
      <alignment vertical="bottom"/>
    </xf>
    <xf borderId="3" fillId="9" fontId="5" numFmtId="0" xfId="0" applyAlignment="1" applyBorder="1" applyFont="1">
      <alignment horizontal="center" vertical="bottom"/>
    </xf>
    <xf borderId="3" fillId="8" fontId="5" numFmtId="0" xfId="0" applyAlignment="1" applyBorder="1" applyFont="1">
      <alignment horizontal="center" vertical="bottom"/>
    </xf>
    <xf borderId="3" fillId="9" fontId="5" numFmtId="0" xfId="0" applyAlignment="1" applyBorder="1" applyFont="1">
      <alignment horizontal="center" vertical="bottom"/>
    </xf>
    <xf borderId="3" fillId="8" fontId="5" numFmtId="0" xfId="0" applyAlignment="1" applyBorder="1" applyFont="1">
      <alignment horizontal="center" vertical="bottom"/>
    </xf>
    <xf borderId="3" fillId="5" fontId="19" numFmtId="0" xfId="0" applyAlignment="1" applyBorder="1" applyFont="1">
      <alignment vertical="bottom"/>
    </xf>
    <xf borderId="3" fillId="5" fontId="19" numFmtId="0" xfId="0" applyAlignment="1" applyBorder="1" applyFont="1">
      <alignment horizontal="right" vertical="bottom"/>
    </xf>
    <xf borderId="3" fillId="8" fontId="19" numFmtId="0" xfId="0" applyAlignment="1" applyBorder="1" applyFont="1">
      <alignment horizontal="right" vertical="bottom"/>
    </xf>
    <xf borderId="3" fillId="16" fontId="5" numFmtId="0" xfId="0" applyAlignment="1" applyBorder="1" applyFont="1">
      <alignment horizontal="center" readingOrder="0" vertical="bottom"/>
    </xf>
    <xf borderId="3" fillId="16" fontId="5" numFmtId="0" xfId="0" applyAlignment="1" applyBorder="1" applyFont="1">
      <alignment horizontal="center" vertical="bottom"/>
    </xf>
    <xf borderId="3" fillId="0" fontId="19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7" fillId="0" fontId="16" numFmtId="0" xfId="0" applyAlignment="1" applyBorder="1" applyFont="1">
      <alignment vertical="bottom"/>
    </xf>
    <xf borderId="8" fillId="0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6" fillId="14" fontId="17" numFmtId="0" xfId="0" applyAlignment="1" applyBorder="1" applyFont="1">
      <alignment vertical="bottom"/>
    </xf>
    <xf borderId="7" fillId="0" fontId="18" numFmtId="0" xfId="0" applyAlignment="1" applyBorder="1" applyFont="1">
      <alignment shrinkToFit="0" vertical="bottom" wrapText="1"/>
    </xf>
    <xf borderId="3" fillId="0" fontId="19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3" fillId="0" fontId="5" numFmtId="167" xfId="0" applyAlignment="1" applyBorder="1" applyFont="1" applyNumberFormat="1">
      <alignment horizontal="center" vertical="bottom"/>
    </xf>
    <xf borderId="3" fillId="5" fontId="19" numFmtId="0" xfId="0" applyAlignment="1" applyBorder="1" applyFont="1">
      <alignment vertical="bottom"/>
    </xf>
    <xf borderId="3" fillId="5" fontId="19" numFmtId="0" xfId="0" applyAlignment="1" applyBorder="1" applyFont="1">
      <alignment horizontal="right" vertical="bottom"/>
    </xf>
    <xf borderId="3" fillId="8" fontId="19" numFmtId="0" xfId="0" applyAlignment="1" applyBorder="1" applyFont="1">
      <alignment horizontal="right" vertical="bottom"/>
    </xf>
    <xf borderId="3" fillId="16" fontId="5" numFmtId="0" xfId="0" applyAlignment="1" applyBorder="1" applyFont="1">
      <alignment horizontal="center" vertical="bottom"/>
    </xf>
    <xf borderId="3" fillId="4" fontId="16" numFmtId="0" xfId="0" applyAlignment="1" applyBorder="1" applyFont="1">
      <alignment vertical="bottom"/>
    </xf>
    <xf borderId="7" fillId="14" fontId="16" numFmtId="0" xfId="0" applyAlignment="1" applyBorder="1" applyFont="1">
      <alignment vertical="bottom"/>
    </xf>
    <xf borderId="8" fillId="14" fontId="16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3" fillId="0" fontId="18" numFmtId="0" xfId="0" applyAlignment="1" applyBorder="1" applyFont="1">
      <alignment readingOrder="0" shrinkToFit="0" vertical="bottom" wrapText="1"/>
    </xf>
    <xf borderId="3" fillId="4" fontId="16" numFmtId="0" xfId="0" applyAlignment="1" applyBorder="1" applyFont="1">
      <alignment vertical="bottom"/>
    </xf>
    <xf borderId="3" fillId="9" fontId="16" numFmtId="0" xfId="0" applyAlignment="1" applyBorder="1" applyFont="1">
      <alignment vertical="bottom"/>
    </xf>
    <xf borderId="3" fillId="8" fontId="16" numFmtId="0" xfId="0" applyAlignment="1" applyBorder="1" applyFont="1">
      <alignment vertical="bottom"/>
    </xf>
    <xf borderId="6" fillId="17" fontId="17" numFmtId="0" xfId="0" applyAlignment="1" applyBorder="1" applyFont="1">
      <alignment vertical="bottom"/>
    </xf>
    <xf borderId="3" fillId="16" fontId="19" numFmtId="0" xfId="0" applyAlignment="1" applyBorder="1" applyFont="1">
      <alignment horizontal="right" vertical="bottom"/>
    </xf>
    <xf borderId="3" fillId="0" fontId="5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14" numFmtId="0" xfId="0" applyAlignment="1" applyFont="1">
      <alignment shrinkToFit="0" wrapText="1"/>
    </xf>
    <xf borderId="7" fillId="0" fontId="5" numFmtId="0" xfId="0" applyBorder="1" applyFont="1"/>
    <xf borderId="3" fillId="14" fontId="4" numFmtId="0" xfId="0" applyAlignment="1" applyBorder="1" applyFont="1">
      <alignment readingOrder="0"/>
    </xf>
    <xf borderId="3" fillId="0" fontId="8" numFmtId="0" xfId="0" applyBorder="1" applyFont="1"/>
    <xf borderId="3" fillId="0" fontId="8" numFmtId="0" xfId="0" applyAlignment="1" applyBorder="1" applyFont="1">
      <alignment readingOrder="0"/>
    </xf>
    <xf borderId="3" fillId="17" fontId="4" numFmtId="0" xfId="0" applyBorder="1" applyFont="1"/>
    <xf borderId="3" fillId="1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8" width="14.0"/>
    <col customWidth="1" min="9" max="26" width="14.38"/>
  </cols>
  <sheetData>
    <row r="1">
      <c r="A1" s="1" t="s">
        <v>0</v>
      </c>
      <c r="B1" s="2"/>
      <c r="C1" s="2"/>
      <c r="D1" s="2"/>
      <c r="E1" s="2"/>
      <c r="F1" s="2"/>
    </row>
    <row r="4">
      <c r="A4" s="3" t="s">
        <v>1</v>
      </c>
      <c r="B4" s="2"/>
      <c r="C4" s="2"/>
    </row>
    <row r="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>
      <c r="A6" s="5" t="s">
        <v>8</v>
      </c>
      <c r="B6" s="6">
        <v>45994.0</v>
      </c>
      <c r="C6" s="7" t="s">
        <v>9</v>
      </c>
      <c r="D6" s="6">
        <v>45997.0</v>
      </c>
      <c r="E6" s="7" t="s">
        <v>9</v>
      </c>
      <c r="F6" s="5" t="str">
        <f t="shared" ref="F6:F13" si="1">IF(AND(UPPER(C6)="YES",UPPER(E6)="YES"),"✓ COMPLETE","incomplete")</f>
        <v>✓ COMPLETE</v>
      </c>
    </row>
    <row r="7">
      <c r="A7" s="5" t="s">
        <v>10</v>
      </c>
      <c r="B7" s="8">
        <v>46002.0</v>
      </c>
      <c r="C7" s="7" t="s">
        <v>11</v>
      </c>
      <c r="D7" s="5"/>
      <c r="E7" s="7"/>
      <c r="F7" s="5" t="str">
        <f t="shared" si="1"/>
        <v>incomplete</v>
      </c>
    </row>
    <row r="8">
      <c r="A8" s="5" t="s">
        <v>12</v>
      </c>
      <c r="B8" s="5"/>
      <c r="C8" s="5"/>
      <c r="D8" s="5"/>
      <c r="E8" s="5"/>
      <c r="F8" s="5" t="str">
        <f t="shared" si="1"/>
        <v>incomplete</v>
      </c>
    </row>
    <row r="9">
      <c r="A9" s="5" t="s">
        <v>13</v>
      </c>
      <c r="B9" s="5"/>
      <c r="C9" s="5"/>
      <c r="D9" s="5"/>
      <c r="E9" s="5"/>
      <c r="F9" s="5" t="str">
        <f t="shared" si="1"/>
        <v>incomplete</v>
      </c>
    </row>
    <row r="10">
      <c r="A10" s="5" t="s">
        <v>14</v>
      </c>
      <c r="B10" s="5"/>
      <c r="C10" s="5"/>
      <c r="D10" s="5"/>
      <c r="E10" s="5"/>
      <c r="F10" s="5" t="str">
        <f t="shared" si="1"/>
        <v>incomplete</v>
      </c>
    </row>
    <row r="11">
      <c r="A11" s="5" t="s">
        <v>15</v>
      </c>
      <c r="B11" s="5"/>
      <c r="C11" s="5"/>
      <c r="D11" s="5"/>
      <c r="E11" s="5"/>
      <c r="F11" s="5" t="str">
        <f t="shared" si="1"/>
        <v>incomplete</v>
      </c>
    </row>
    <row r="12">
      <c r="A12" s="5" t="s">
        <v>16</v>
      </c>
      <c r="B12" s="5"/>
      <c r="C12" s="5"/>
      <c r="D12" s="5"/>
      <c r="E12" s="5"/>
      <c r="F12" s="5" t="str">
        <f t="shared" si="1"/>
        <v>incomplete</v>
      </c>
    </row>
    <row r="13">
      <c r="A13" s="5" t="s">
        <v>17</v>
      </c>
      <c r="B13" s="5"/>
      <c r="C13" s="5"/>
      <c r="D13" s="5"/>
      <c r="E13" s="5"/>
      <c r="F13" s="5" t="str">
        <f t="shared" si="1"/>
        <v>incomplete</v>
      </c>
    </row>
    <row r="14">
      <c r="A14" s="9" t="s">
        <v>18</v>
      </c>
      <c r="B14" s="10"/>
      <c r="C14" s="9">
        <f>COUNTIF(C6:C13,"YES")</f>
        <v>2</v>
      </c>
      <c r="D14" s="10"/>
      <c r="E14" s="9">
        <f>COUNTIF(E6:E13,"YES")</f>
        <v>1</v>
      </c>
      <c r="F14" s="9">
        <f>COUNTIF(F6:F13,"✓ COMPLETE")</f>
        <v>1</v>
      </c>
    </row>
    <row r="15">
      <c r="A15" s="11" t="s">
        <v>19</v>
      </c>
      <c r="B15" s="12" t="str">
        <f>COUNTIF(F6:F13,"✓ COMPLETE")&amp;" weeks"</f>
        <v>1 weeks</v>
      </c>
      <c r="D15" s="11" t="s">
        <v>20</v>
      </c>
      <c r="E15" s="13">
        <f>IF(COUNTA(C6:C13)&gt;0,(C14+E14)/(COUNTA(C6:C13)+COUNTA(E6:E13)),0)</f>
        <v>1</v>
      </c>
    </row>
    <row r="18">
      <c r="A18" s="14" t="s">
        <v>21</v>
      </c>
      <c r="B18" s="2"/>
      <c r="C18" s="2"/>
    </row>
    <row r="19">
      <c r="A19" s="4" t="s">
        <v>2</v>
      </c>
      <c r="B19" s="4" t="s">
        <v>22</v>
      </c>
      <c r="C19" s="4" t="s">
        <v>23</v>
      </c>
      <c r="D19" s="4" t="s">
        <v>24</v>
      </c>
      <c r="E19" s="4" t="s">
        <v>25</v>
      </c>
    </row>
    <row r="20">
      <c r="A20" s="5" t="s">
        <v>8</v>
      </c>
      <c r="B20" s="5">
        <f>SUMIF('Session A'!J:J,1,'Session A'!G:G)</f>
        <v>2564</v>
      </c>
      <c r="C20" s="5">
        <f>SUMIF('Session B'!J:J,1,'Session B'!G:G)</f>
        <v>2952.5</v>
      </c>
      <c r="D20" s="5">
        <f t="shared" ref="D20:D23" si="2">B20+C20</f>
        <v>5516.5</v>
      </c>
      <c r="E20" s="5" t="s">
        <v>26</v>
      </c>
    </row>
    <row r="21" ht="15.75" customHeight="1">
      <c r="A21" s="5" t="s">
        <v>10</v>
      </c>
      <c r="B21" s="5">
        <f>SUMIF('Session A'!J:J,2,'Session A'!G:G)</f>
        <v>3105</v>
      </c>
      <c r="C21" s="5">
        <f>SUMIF('Session B'!J:J,2,'Session B'!G:G)</f>
        <v>0</v>
      </c>
      <c r="D21" s="5">
        <f t="shared" si="2"/>
        <v>3105</v>
      </c>
      <c r="E21" s="15">
        <f t="shared" ref="E21:E23" si="3">IF(D20&gt;0,(D21-D20)/D20,0)</f>
        <v>-0.4371431161</v>
      </c>
    </row>
    <row r="22" ht="15.75" customHeight="1">
      <c r="A22" s="5" t="s">
        <v>12</v>
      </c>
      <c r="B22" s="5">
        <f>SUMIF('Session A'!J:J,3,'Session A'!G:G)</f>
        <v>0</v>
      </c>
      <c r="C22" s="5">
        <f>SUMIF('Session B'!J:J,3,'Session B'!G:G)</f>
        <v>0</v>
      </c>
      <c r="D22" s="5">
        <f t="shared" si="2"/>
        <v>0</v>
      </c>
      <c r="E22" s="15">
        <f t="shared" si="3"/>
        <v>-1</v>
      </c>
    </row>
    <row r="23" ht="15.75" customHeight="1">
      <c r="A23" s="5" t="s">
        <v>13</v>
      </c>
      <c r="B23" s="5">
        <f>SUMIF('Session A'!J:J,4,'Session A'!G:G)</f>
        <v>0</v>
      </c>
      <c r="C23" s="5">
        <f>SUMIF('Session B'!J:J,4,'Session B'!G:G)</f>
        <v>0</v>
      </c>
      <c r="D23" s="5">
        <f t="shared" si="2"/>
        <v>0</v>
      </c>
      <c r="E23" s="15">
        <f t="shared" si="3"/>
        <v>0</v>
      </c>
    </row>
    <row r="24" ht="15.75" customHeight="1"/>
    <row r="25" ht="15.75" customHeight="1"/>
    <row r="26" ht="15.75" customHeight="1">
      <c r="A26" s="14" t="s">
        <v>27</v>
      </c>
      <c r="B26" s="2"/>
      <c r="C26" s="2"/>
      <c r="D26" s="2"/>
      <c r="E26" s="2"/>
      <c r="F26" s="2"/>
    </row>
    <row r="27" ht="15.75" customHeight="1">
      <c r="A27" s="4" t="s">
        <v>28</v>
      </c>
      <c r="B27" s="4" t="s">
        <v>8</v>
      </c>
      <c r="C27" s="4" t="s">
        <v>10</v>
      </c>
      <c r="D27" s="4" t="s">
        <v>12</v>
      </c>
      <c r="E27" s="4" t="s">
        <v>13</v>
      </c>
      <c r="F27" s="4" t="s">
        <v>29</v>
      </c>
      <c r="G27" s="4" t="s">
        <v>30</v>
      </c>
    </row>
    <row r="28" ht="15.75" customHeight="1">
      <c r="A28" s="16" t="s">
        <v>31</v>
      </c>
      <c r="B28" s="5">
        <f>SUMIFS('Session A'!L:L,'Session A'!J:J,1,'Session A'!K:K,"Chest")+SUMIFS('Session B'!L:L,'Session B'!J:J,1,'Session B'!K:K,"Chest")</f>
        <v>8</v>
      </c>
      <c r="C28" s="5">
        <f>SUMIFS('Session A'!L:L,'Session A'!J:J,2,'Session A'!K:K,"Chest")+SUMIFS('Session B'!L:L,'Session B'!J:J,2,'Session B'!K:K,"Chest")</f>
        <v>6</v>
      </c>
      <c r="D28" s="5">
        <f>SUMIFS('Session A'!L:L,'Session A'!J:J,3,'Session A'!K:K,"Chest")+SUMIFS('Session B'!L:L,'Session B'!J:J,3,'Session B'!K:K,"Chest")</f>
        <v>7</v>
      </c>
      <c r="E28" s="5">
        <f>SUMIFS('Session A'!L:L,'Session A'!J:J,2,'Session A'!K:K,"Chest")+SUMIFS('Session B'!L:L,'Session B'!J:J,2,'Session B'!K:K,"Chest")</f>
        <v>6</v>
      </c>
      <c r="F28" s="16">
        <f t="shared" ref="F28:F34" si="4">ROUND(AVERAGE(B28:E28),1)</f>
        <v>6.8</v>
      </c>
      <c r="G28" s="10" t="str">
        <f t="shared" ref="G28:G34" si="5">IF(F28&lt;6,"⚠️ Low",IF(F28&gt;12,"⚠️ High","✓ Good"))</f>
        <v>✓ Good</v>
      </c>
    </row>
    <row r="29" ht="15.75" customHeight="1">
      <c r="A29" s="16" t="s">
        <v>32</v>
      </c>
      <c r="B29" s="5">
        <f>SUMIFS('Session A'!L:L,'Session A'!J:J,1,'Session A'!K:K,"Shoulders")+SUMIFS('Session B'!L:L,'Session B'!J:J,1,'Session B'!K:K,"Shoulders")</f>
        <v>4</v>
      </c>
      <c r="C29" s="5">
        <f>SUMIFS('Session A'!L:L,'Session A'!J:J,2,'Session A'!K:K,"Shoulders")+SUMIFS('Session B'!L:L,'Session B'!J:J,2,'Session B'!K:K,"Shoulders")</f>
        <v>4</v>
      </c>
      <c r="D29" s="5">
        <f>SUMIFS('Session A'!L:L,'Session A'!J:J,3,'Session A'!K:K,"Shoulders")+SUMIFS('Session B'!L:L,'Session B'!J:J,3,'Session B'!K:K,"Shoulders")</f>
        <v>2</v>
      </c>
      <c r="E29" s="5">
        <f>SUMIFS('Session A'!L:L,'Session A'!J:J,2,'Session A'!K:K,"Shoulders")+SUMIFS('Session B'!L:L,'Session B'!J:J,2,'Session B'!K:K,"Shoulders")</f>
        <v>4</v>
      </c>
      <c r="F29" s="16">
        <f t="shared" si="4"/>
        <v>3.5</v>
      </c>
      <c r="G29" s="10" t="str">
        <f t="shared" si="5"/>
        <v>⚠️ Low</v>
      </c>
    </row>
    <row r="30" ht="15.75" customHeight="1">
      <c r="A30" s="16" t="s">
        <v>33</v>
      </c>
      <c r="B30" s="5">
        <f>SUMIFS('Session A'!L:L,'Session A'!J:J,1,'Session A'!K:K,"Triceps")+SUMIFS('Session B'!L:L,'Session B'!J:J,1,'Session B'!K:K,"Chest")</f>
        <v>4</v>
      </c>
      <c r="C30" s="5">
        <f>SUMIFS('Session A'!L:L,'Session A'!J:J,2,'Session A'!K:K,"Triceps")+SUMIFS('Session B'!L:L,'Session B'!J:J,2,'Session B'!K:K,"Triceps")</f>
        <v>4</v>
      </c>
      <c r="D30" s="5">
        <f>SUMIFS('Session A'!L:L,'Session A'!J:J,3,'Session A'!K:K,"Triceps")+SUMIFS('Session B'!L:L,'Session B'!J:J,3,'Session B'!K:K,"Triceps")</f>
        <v>2</v>
      </c>
      <c r="E30" s="5">
        <f>SUMIFS('Session A'!L:L,'Session A'!J:J,2,'Session A'!K:K,"Triceps")+SUMIFS('Session B'!L:L,'Session B'!J:J,2,'Session B'!K:K,"Triceps")</f>
        <v>4</v>
      </c>
      <c r="F30" s="16">
        <f t="shared" si="4"/>
        <v>3.5</v>
      </c>
      <c r="G30" s="10" t="str">
        <f t="shared" si="5"/>
        <v>⚠️ Low</v>
      </c>
    </row>
    <row r="31" ht="15.75" customHeight="1">
      <c r="A31" s="16" t="s">
        <v>34</v>
      </c>
      <c r="B31" s="5">
        <f>SUMIFS('Session A'!L:L,'Session A'!J:J,1,'Session A'!K:K,"Back")+SUMIFS('Session B'!L:L,'Session B'!J:J,1,'Session B'!K:K,"Back")</f>
        <v>6</v>
      </c>
      <c r="C31" s="5">
        <f>SUMIFS('Session A'!L:L,'Session A'!J:J,2,'Session A'!K:K,"Back")+SUMIFS('Session B'!L:L,'Session B'!J:J,2,'Session B'!K:K,"Back")</f>
        <v>6</v>
      </c>
      <c r="D31" s="5">
        <f>SUMIFS('Session A'!L:L,'Session A'!J:J,2,'Session A'!K:K,"Back")+SUMIFS('Session B'!L:L,'Session B'!J:J,2,'Session B'!K:K,"Back")</f>
        <v>6</v>
      </c>
      <c r="E31" s="5">
        <f>SUMIFS('Session A'!L:L,'Session A'!J:J,2,'Session A'!K:K,"Back")+SUMIFS('Session B'!L:L,'Session B'!J:J,2,'Session B'!K:K,"Back")</f>
        <v>6</v>
      </c>
      <c r="F31" s="16">
        <f t="shared" si="4"/>
        <v>6</v>
      </c>
      <c r="G31" s="10" t="str">
        <f t="shared" si="5"/>
        <v>✓ Good</v>
      </c>
    </row>
    <row r="32" ht="15.75" customHeight="1">
      <c r="A32" s="16" t="s">
        <v>35</v>
      </c>
      <c r="B32" s="5">
        <f>SUMIFS('Session A'!L:L,'Session A'!J:J,1,'Session A'!K:K,"Rear Delts")+SUMIFS('Session B'!L:L,'Session B'!J:J,1,'Session B'!K:K,"Rear Delts")</f>
        <v>2</v>
      </c>
      <c r="C32" s="5">
        <f>SUMIFS('Session A'!L:L,'Session A'!J:J,2,'Session A'!K:K,"Rear Delts")+SUMIFS('Session B'!L:L,'Session B'!J:J,2,'Session B'!K:K,"Rear Delts")</f>
        <v>2</v>
      </c>
      <c r="D32" s="5">
        <f>SUMIFS('Session A'!L:L,'Session A'!J:J,2,'Session A'!K:K,"Rear Delts")+SUMIFS('Session B'!L:L,'Session B'!J:J,2,'Session B'!K:K,"Rear Delts")</f>
        <v>2</v>
      </c>
      <c r="E32" s="5">
        <f>SUMIFS('Session A'!L:L,'Session A'!J:J,2,'Session A'!K:K,"Rear Delts")+SUMIFS('Session B'!L:L,'Session B'!J:J,2,'Session B'!K:K,"Rear Delts")</f>
        <v>2</v>
      </c>
      <c r="F32" s="16">
        <f t="shared" si="4"/>
        <v>2</v>
      </c>
      <c r="G32" s="10" t="str">
        <f t="shared" si="5"/>
        <v>⚠️ Low</v>
      </c>
    </row>
    <row r="33" ht="15.75" customHeight="1">
      <c r="A33" s="16" t="s">
        <v>36</v>
      </c>
      <c r="B33" s="5">
        <f>SUMIFS('Session A'!L:L,'Session A'!J:J,1,'Session A'!K:K,"Biceps")+SUMIFS('Session B'!L:L,'Session B'!J:J,1,'Session B'!K:K,"Biceps")</f>
        <v>4</v>
      </c>
      <c r="C33" s="5">
        <f>SUMIFS('Session A'!L:L,'Session A'!J:J,2,'Session A'!K:K,"Biceps")+SUMIFS('Session B'!L:L,'Session B'!J:J,2,'Session B'!K:K,"Biceps")</f>
        <v>4</v>
      </c>
      <c r="D33" s="5">
        <f>SUMIFS('Session A'!L:L,'Session A'!J:J,2,'Session A'!K:K,"Biceps")+SUMIFS('Session B'!L:L,'Session B'!J:J,2,'Session B'!K:K,"Biceps")</f>
        <v>4</v>
      </c>
      <c r="E33" s="5">
        <f>SUMIFS('Session A'!L:L,'Session A'!J:J,2,'Session A'!K:K,"Biceps")+SUMIFS('Session B'!L:L,'Session B'!J:J,2,'Session B'!K:K,"Biceps")</f>
        <v>4</v>
      </c>
      <c r="F33" s="16">
        <f t="shared" si="4"/>
        <v>4</v>
      </c>
      <c r="G33" s="10" t="str">
        <f t="shared" si="5"/>
        <v>⚠️ Low</v>
      </c>
    </row>
    <row r="34" ht="15.75" customHeight="1">
      <c r="A34" s="16" t="s">
        <v>37</v>
      </c>
      <c r="B34" s="5">
        <f>SUMIFS('Session A'!L:L,'Session A'!J:J,1,'Session A'!K:K,"Core")+SUMIFS('Session B'!L:L,'Session B'!J:J,1,'Session B'!K:K,"Core")</f>
        <v>4</v>
      </c>
      <c r="C34" s="5">
        <f>SUMIFS('Session A'!L:L,'Session A'!J:J,2,'Session A'!K:K,"Core")+SUMIFS('Session B'!L:L,'Session B'!J:J,2,'Session B'!K:K,"Core")</f>
        <v>2</v>
      </c>
      <c r="D34" s="5">
        <f>SUMIFS('Session A'!L:L,'Session A'!J:J,2,'Session A'!K:K,"Core")+SUMIFS('Session B'!L:L,'Session B'!J:J,2,'Session B'!K:K,"Core")</f>
        <v>2</v>
      </c>
      <c r="E34" s="5">
        <f>SUMIFS('Session A'!L:L,'Session A'!J:J,2,'Session A'!K:K,"Core")+SUMIFS('Session B'!L:L,'Session B'!J:J,2,'Session B'!K:K,"Core")</f>
        <v>2</v>
      </c>
      <c r="F34" s="16">
        <f t="shared" si="4"/>
        <v>2.5</v>
      </c>
      <c r="G34" s="10" t="str">
        <f t="shared" si="5"/>
        <v>⚠️ Low</v>
      </c>
    </row>
    <row r="35" ht="15.75" customHeight="1"/>
    <row r="36" ht="15.75" customHeight="1"/>
    <row r="37" ht="15.75" customHeight="1">
      <c r="A37" s="14" t="s">
        <v>38</v>
      </c>
      <c r="B37" s="2"/>
      <c r="C37" s="2"/>
    </row>
    <row r="38" ht="15.75" customHeight="1">
      <c r="A38" s="4" t="s">
        <v>28</v>
      </c>
      <c r="B38" s="4" t="s">
        <v>8</v>
      </c>
      <c r="C38" s="4" t="s">
        <v>10</v>
      </c>
      <c r="D38" s="4" t="s">
        <v>12</v>
      </c>
      <c r="E38" s="4" t="s">
        <v>13</v>
      </c>
      <c r="F38" s="4" t="s">
        <v>25</v>
      </c>
    </row>
    <row r="39" ht="15.75" customHeight="1">
      <c r="A39" s="16" t="s">
        <v>31</v>
      </c>
      <c r="B39" s="5" t="str">
        <f>SUMIFS('Upper A - Push'!G:G,'Upper A - Push'!J:J,1,'Upper A - Push'!K:K,"Chest")+SUMIFS('Upper B - Pull'!G:G,'Upper B - Pull'!J:J,1,'Upper B - Pull'!K:K,"Chest")</f>
        <v>#N/A</v>
      </c>
      <c r="C39" s="5" t="str">
        <f>SUMIFS('Upper A - Push'!G:G,'Upper A - Push'!J:J,2,'Upper A - Push'!K:K,"Chest")+SUMIFS('Upper B - Pull'!G:G,'Upper B - Pull'!J:J,2,'Upper B - Pull'!K:K,"Chest")</f>
        <v>#N/A</v>
      </c>
      <c r="D39" s="5" t="str">
        <f>SUMIFS('Upper A - Push'!G:G,'Upper A - Push'!J:J,3,'Upper A - Push'!K:K,"Chest")+SUMIFS('Upper B - Pull'!G:G,'Upper B - Pull'!J:J,3,'Upper B - Pull'!K:K,"Chest")</f>
        <v>#N/A</v>
      </c>
      <c r="E39" s="5" t="str">
        <f>SUMIFS('Upper A - Push'!G:G,'Upper A - Push'!J:J,4,'Upper A - Push'!K:K,"Chest")+SUMIFS('Upper B - Pull'!G:G,'Upper B - Pull'!J:J,4,'Upper B - Pull'!K:K,"Chest")</f>
        <v>#N/A</v>
      </c>
      <c r="F39" s="17" t="str">
        <f t="shared" ref="F39:F45" si="6">IF(B39&gt;0,(E39-B39)/B39,0)</f>
        <v>#N/A</v>
      </c>
    </row>
    <row r="40" ht="15.75" customHeight="1">
      <c r="A40" s="16" t="s">
        <v>32</v>
      </c>
      <c r="B40" s="5" t="str">
        <f>SUMIFS('Upper A - Push'!G:G,'Upper A - Push'!J:J,1,'Upper A - Push'!K:K,"Shoulders")+SUMIFS('Upper B - Pull'!G:G,'Upper B - Pull'!J:J,1,'Upper B - Pull'!K:K,"Shoulders")</f>
        <v>#N/A</v>
      </c>
      <c r="C40" s="5" t="str">
        <f>SUMIFS('Upper A - Push'!G:G,'Upper A - Push'!J:J,2,'Upper A - Push'!K:K,"Shoulders")+SUMIFS('Upper B - Pull'!G:G,'Upper B - Pull'!J:J,2,'Upper B - Pull'!K:K,"Shoulders")</f>
        <v>#N/A</v>
      </c>
      <c r="D40" s="5" t="str">
        <f>SUMIFS('Upper A - Push'!G:G,'Upper A - Push'!J:J,3,'Upper A - Push'!K:K,"Shoulders")+SUMIFS('Upper B - Pull'!G:G,'Upper B - Pull'!J:J,3,'Upper B - Pull'!K:K,"Shoulders")</f>
        <v>#N/A</v>
      </c>
      <c r="E40" s="5" t="str">
        <f>SUMIFS('Upper A - Push'!G:G,'Upper A - Push'!J:J,4,'Upper A - Push'!K:K,"Shoulders")+SUMIFS('Upper B - Pull'!G:G,'Upper B - Pull'!J:J,4,'Upper B - Pull'!K:K,"Shoulders")</f>
        <v>#N/A</v>
      </c>
      <c r="F40" s="17" t="str">
        <f t="shared" si="6"/>
        <v>#N/A</v>
      </c>
    </row>
    <row r="41" ht="15.75" customHeight="1">
      <c r="A41" s="16" t="s">
        <v>33</v>
      </c>
      <c r="B41" s="5" t="str">
        <f>SUMIFS('Upper A - Push'!G:G,'Upper A - Push'!J:J,1,'Upper A - Push'!K:K,"Triceps")+SUMIFS('Upper B - Pull'!G:G,'Upper B - Pull'!J:J,1,'Upper B - Pull'!K:K,"Triceps")</f>
        <v>#N/A</v>
      </c>
      <c r="C41" s="5" t="str">
        <f>SUMIFS('Upper A - Push'!G:G,'Upper A - Push'!J:J,2,'Upper A - Push'!K:K,"Triceps")+SUMIFS('Upper B - Pull'!G:G,'Upper B - Pull'!J:J,2,'Upper B - Pull'!K:K,"Triceps")</f>
        <v>#N/A</v>
      </c>
      <c r="D41" s="5" t="str">
        <f>SUMIFS('Upper A - Push'!G:G,'Upper A - Push'!J:J,3,'Upper A - Push'!K:K,"Triceps")+SUMIFS('Upper B - Pull'!G:G,'Upper B - Pull'!J:J,3,'Upper B - Pull'!K:K,"Triceps")</f>
        <v>#N/A</v>
      </c>
      <c r="E41" s="5" t="str">
        <f>SUMIFS('Upper A - Push'!G:G,'Upper A - Push'!J:J,4,'Upper A - Push'!K:K,"Triceps")+SUMIFS('Upper B - Pull'!G:G,'Upper B - Pull'!J:J,4,'Upper B - Pull'!K:K,"Triceps")</f>
        <v>#N/A</v>
      </c>
      <c r="F41" s="17" t="str">
        <f t="shared" si="6"/>
        <v>#N/A</v>
      </c>
    </row>
    <row r="42" ht="15.75" customHeight="1">
      <c r="A42" s="16" t="s">
        <v>34</v>
      </c>
      <c r="B42" s="5" t="str">
        <f>SUMIFS('Upper A - Push'!G:G,'Upper A - Push'!J:J,1,'Upper A - Push'!K:K,"Back")+SUMIFS('Upper B - Pull'!G:G,'Upper B - Pull'!J:J,1,'Upper B - Pull'!K:K,"Back")</f>
        <v>#N/A</v>
      </c>
      <c r="C42" s="5" t="str">
        <f>SUMIFS('Upper A - Push'!G:G,'Upper A - Push'!J:J,2,'Upper A - Push'!K:K,"Back")+SUMIFS('Upper B - Pull'!G:G,'Upper B - Pull'!J:J,2,'Upper B - Pull'!K:K,"Back")</f>
        <v>#N/A</v>
      </c>
      <c r="D42" s="5" t="str">
        <f>SUMIFS('Upper A - Push'!G:G,'Upper A - Push'!J:J,3,'Upper A - Push'!K:K,"Back")+SUMIFS('Upper B - Pull'!G:G,'Upper B - Pull'!J:J,3,'Upper B - Pull'!K:K,"Back")</f>
        <v>#N/A</v>
      </c>
      <c r="E42" s="5" t="str">
        <f>SUMIFS('Upper A - Push'!G:G,'Upper A - Push'!J:J,4,'Upper A - Push'!K:K,"Back")+SUMIFS('Upper B - Pull'!G:G,'Upper B - Pull'!J:J,4,'Upper B - Pull'!K:K,"Back")</f>
        <v>#N/A</v>
      </c>
      <c r="F42" s="17" t="str">
        <f t="shared" si="6"/>
        <v>#N/A</v>
      </c>
    </row>
    <row r="43" ht="15.75" customHeight="1">
      <c r="A43" s="16" t="s">
        <v>35</v>
      </c>
      <c r="B43" s="5" t="str">
        <f>SUMIFS('Upper A - Push'!G:G,'Upper A - Push'!J:J,1,'Upper A - Push'!K:K,"Rear Delts")+SUMIFS('Upper B - Pull'!G:G,'Upper B - Pull'!J:J,1,'Upper B - Pull'!K:K,"Rear Delts")</f>
        <v>#N/A</v>
      </c>
      <c r="C43" s="5" t="str">
        <f>SUMIFS('Upper A - Push'!G:G,'Upper A - Push'!J:J,2,'Upper A - Push'!K:K,"Rear Delts")+SUMIFS('Upper B - Pull'!G:G,'Upper B - Pull'!J:J,2,'Upper B - Pull'!K:K,"Rear Delts")</f>
        <v>#N/A</v>
      </c>
      <c r="D43" s="5" t="str">
        <f>SUMIFS('Upper A - Push'!G:G,'Upper A - Push'!J:J,3,'Upper A - Push'!K:K,"Rear Delts")+SUMIFS('Upper B - Pull'!G:G,'Upper B - Pull'!J:J,3,'Upper B - Pull'!K:K,"Rear Delts")</f>
        <v>#N/A</v>
      </c>
      <c r="E43" s="5" t="str">
        <f>SUMIFS('Upper A - Push'!G:G,'Upper A - Push'!J:J,4,'Upper A - Push'!K:K,"Rear Delts")+SUMIFS('Upper B - Pull'!G:G,'Upper B - Pull'!J:J,4,'Upper B - Pull'!K:K,"Rear Delts")</f>
        <v>#N/A</v>
      </c>
      <c r="F43" s="17" t="str">
        <f t="shared" si="6"/>
        <v>#N/A</v>
      </c>
    </row>
    <row r="44" ht="15.75" customHeight="1">
      <c r="A44" s="16" t="s">
        <v>36</v>
      </c>
      <c r="B44" s="5" t="str">
        <f>SUMIFS('Upper A - Push'!G:G,'Upper A - Push'!J:J,1,'Upper A - Push'!K:K,"Biceps")+SUMIFS('Upper B - Pull'!G:G,'Upper B - Pull'!J:J,1,'Upper B - Pull'!K:K,"Biceps")</f>
        <v>#N/A</v>
      </c>
      <c r="C44" s="5" t="str">
        <f>SUMIFS('Upper A - Push'!G:G,'Upper A - Push'!J:J,2,'Upper A - Push'!K:K,"Biceps")+SUMIFS('Upper B - Pull'!G:G,'Upper B - Pull'!J:J,2,'Upper B - Pull'!K:K,"Biceps")</f>
        <v>#N/A</v>
      </c>
      <c r="D44" s="5" t="str">
        <f>SUMIFS('Upper A - Push'!G:G,'Upper A - Push'!J:J,3,'Upper A - Push'!K:K,"Biceps")+SUMIFS('Upper B - Pull'!G:G,'Upper B - Pull'!J:J,3,'Upper B - Pull'!K:K,"Biceps")</f>
        <v>#N/A</v>
      </c>
      <c r="E44" s="5" t="str">
        <f>SUMIFS('Upper A - Push'!G:G,'Upper A - Push'!J:J,4,'Upper A - Push'!K:K,"Biceps")+SUMIFS('Upper B - Pull'!G:G,'Upper B - Pull'!J:J,4,'Upper B - Pull'!K:K,"Biceps")</f>
        <v>#N/A</v>
      </c>
      <c r="F44" s="17" t="str">
        <f t="shared" si="6"/>
        <v>#N/A</v>
      </c>
    </row>
    <row r="45" ht="15.75" customHeight="1">
      <c r="A45" s="16" t="s">
        <v>37</v>
      </c>
      <c r="B45" s="5" t="str">
        <f>SUMIFS('Upper A - Push'!G:G,'Upper A - Push'!J:J,1,'Upper A - Push'!K:K,"Core")+SUMIFS('Upper B - Pull'!G:G,'Upper B - Pull'!J:J,1,'Upper B - Pull'!K:K,"Core")</f>
        <v>#N/A</v>
      </c>
      <c r="C45" s="5" t="str">
        <f>SUMIFS('Upper A - Push'!G:G,'Upper A - Push'!J:J,2,'Upper A - Push'!K:K,"Core")+SUMIFS('Upper B - Pull'!G:G,'Upper B - Pull'!J:J,2,'Upper B - Pull'!K:K,"Core")</f>
        <v>#N/A</v>
      </c>
      <c r="D45" s="5" t="str">
        <f>SUMIFS('Upper A - Push'!G:G,'Upper A - Push'!J:J,3,'Upper A - Push'!K:K,"Core")+SUMIFS('Upper B - Pull'!G:G,'Upper B - Pull'!J:J,3,'Upper B - Pull'!K:K,"Core")</f>
        <v>#N/A</v>
      </c>
      <c r="E45" s="5" t="str">
        <f>SUMIFS('Upper A - Push'!G:G,'Upper A - Push'!J:J,4,'Upper A - Push'!K:K,"Core")+SUMIFS('Upper B - Pull'!G:G,'Upper B - Pull'!J:J,4,'Upper B - Pull'!K:K,"Core")</f>
        <v>#N/A</v>
      </c>
      <c r="F45" s="17" t="str">
        <f t="shared" si="6"/>
        <v>#N/A</v>
      </c>
    </row>
    <row r="46" ht="15.75" customHeight="1"/>
    <row r="47" ht="15.75" customHeight="1"/>
    <row r="48" ht="15.75" customHeight="1"/>
    <row r="49" ht="15.75" customHeight="1">
      <c r="A49" s="18" t="s">
        <v>39</v>
      </c>
      <c r="B49" s="2"/>
      <c r="C49" s="19"/>
    </row>
    <row r="50" ht="15.75" customHeight="1">
      <c r="A50" s="4" t="s">
        <v>40</v>
      </c>
      <c r="B50" s="4" t="s">
        <v>41</v>
      </c>
      <c r="C50" s="4" t="s">
        <v>42</v>
      </c>
      <c r="D50" s="4" t="s">
        <v>43</v>
      </c>
      <c r="E50" s="4" t="s">
        <v>44</v>
      </c>
      <c r="F50" s="4" t="s">
        <v>45</v>
      </c>
      <c r="G50" s="4" t="s">
        <v>46</v>
      </c>
      <c r="H50" s="4" t="s">
        <v>47</v>
      </c>
    </row>
    <row r="51" ht="15.75" customHeight="1">
      <c r="A51" s="5" t="s">
        <v>48</v>
      </c>
      <c r="B51" s="7">
        <v>78.0</v>
      </c>
      <c r="C51" s="5"/>
      <c r="D51" s="5"/>
      <c r="E51" s="5"/>
      <c r="F51" s="5"/>
      <c r="G51" s="5"/>
      <c r="H51" s="7" t="s">
        <v>49</v>
      </c>
    </row>
    <row r="52" ht="15.75" customHeight="1">
      <c r="A52" s="5" t="s">
        <v>10</v>
      </c>
      <c r="B52" s="5"/>
      <c r="C52" s="5"/>
      <c r="D52" s="5"/>
      <c r="E52" s="5"/>
      <c r="F52" s="5"/>
      <c r="G52" s="5"/>
      <c r="H52" s="5"/>
    </row>
    <row r="53" ht="15.75" customHeight="1">
      <c r="A53" s="5" t="s">
        <v>13</v>
      </c>
      <c r="B53" s="5"/>
      <c r="C53" s="5"/>
      <c r="D53" s="5"/>
      <c r="E53" s="5"/>
      <c r="F53" s="5"/>
      <c r="G53" s="5"/>
      <c r="H53" s="5"/>
    </row>
    <row r="54" ht="15.75" customHeight="1">
      <c r="A54" s="5" t="s">
        <v>15</v>
      </c>
      <c r="B54" s="5"/>
      <c r="C54" s="5"/>
      <c r="D54" s="5"/>
      <c r="E54" s="5"/>
      <c r="F54" s="5"/>
      <c r="G54" s="5"/>
      <c r="H54" s="5"/>
    </row>
    <row r="55" ht="15.75" customHeight="1">
      <c r="A55" s="5" t="s">
        <v>17</v>
      </c>
      <c r="B55" s="5"/>
      <c r="C55" s="5"/>
      <c r="D55" s="5"/>
      <c r="E55" s="5"/>
      <c r="F55" s="5"/>
      <c r="G55" s="5"/>
      <c r="H55" s="5"/>
    </row>
    <row r="56" ht="15.75" customHeight="1">
      <c r="A56" s="5" t="s">
        <v>50</v>
      </c>
      <c r="B56" s="5"/>
      <c r="C56" s="5"/>
      <c r="D56" s="5"/>
      <c r="E56" s="5"/>
      <c r="F56" s="5"/>
      <c r="G56" s="5"/>
      <c r="H56" s="5"/>
    </row>
    <row r="57" ht="15.75" customHeight="1">
      <c r="A57" s="20" t="s">
        <v>51</v>
      </c>
      <c r="B57" s="21" t="str">
        <f t="shared" ref="B57:G57" si="7">IF(AND(B56&lt;&gt;"",B51&lt;&gt;""),B56-B51,"-")</f>
        <v>-</v>
      </c>
      <c r="C57" s="21" t="str">
        <f t="shared" si="7"/>
        <v>-</v>
      </c>
      <c r="D57" s="21" t="str">
        <f t="shared" si="7"/>
        <v>-</v>
      </c>
      <c r="E57" s="21" t="str">
        <f t="shared" si="7"/>
        <v>-</v>
      </c>
      <c r="F57" s="21" t="str">
        <f t="shared" si="7"/>
        <v>-</v>
      </c>
      <c r="G57" s="21" t="str">
        <f t="shared" si="7"/>
        <v>-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6">
    <mergeCell ref="A1:F1"/>
    <mergeCell ref="A4:C4"/>
    <mergeCell ref="A18:C18"/>
    <mergeCell ref="A26:F26"/>
    <mergeCell ref="A37:C37"/>
    <mergeCell ref="A49:C4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4.0"/>
    <col customWidth="1" min="3" max="5" width="12.0"/>
    <col customWidth="1" min="6" max="6" width="14.0"/>
    <col customWidth="1" min="7" max="7" width="30.0"/>
    <col customWidth="1" min="8" max="26" width="14.38"/>
  </cols>
  <sheetData>
    <row r="1">
      <c r="A1" s="1" t="s">
        <v>52</v>
      </c>
      <c r="B1" s="2"/>
      <c r="C1" s="2"/>
    </row>
    <row r="3">
      <c r="A3" s="4" t="s">
        <v>53</v>
      </c>
      <c r="B3" s="4" t="s">
        <v>40</v>
      </c>
      <c r="C3" s="4" t="s">
        <v>41</v>
      </c>
      <c r="D3" s="4" t="s">
        <v>54</v>
      </c>
      <c r="E3" s="4" t="s">
        <v>55</v>
      </c>
      <c r="F3" s="4" t="s">
        <v>56</v>
      </c>
      <c r="G3" s="4" t="s">
        <v>47</v>
      </c>
    </row>
    <row r="4">
      <c r="A4" s="5" t="s">
        <v>57</v>
      </c>
      <c r="B4" s="5"/>
      <c r="C4" s="5"/>
      <c r="D4" s="5"/>
      <c r="E4" s="22" t="str">
        <f t="shared" ref="E4:E31" si="1">IF(AND(C4&lt;&gt;"",D4&lt;&gt;""),ROUND(C4*(1+D4/30),1),"")</f>
        <v/>
      </c>
      <c r="F4" s="5"/>
      <c r="G4" s="5"/>
    </row>
    <row r="5">
      <c r="A5" s="5" t="s">
        <v>58</v>
      </c>
      <c r="B5" s="5"/>
      <c r="C5" s="5"/>
      <c r="D5" s="5"/>
      <c r="E5" s="22" t="str">
        <f t="shared" si="1"/>
        <v/>
      </c>
      <c r="F5" s="5"/>
      <c r="G5" s="5"/>
    </row>
    <row r="6">
      <c r="A6" s="5" t="s">
        <v>59</v>
      </c>
      <c r="B6" s="5"/>
      <c r="C6" s="5"/>
      <c r="D6" s="5"/>
      <c r="E6" s="22" t="str">
        <f t="shared" si="1"/>
        <v/>
      </c>
      <c r="F6" s="5"/>
      <c r="G6" s="5"/>
    </row>
    <row r="7">
      <c r="A7" s="5" t="s">
        <v>60</v>
      </c>
      <c r="B7" s="5"/>
      <c r="C7" s="5"/>
      <c r="D7" s="5"/>
      <c r="E7" s="22" t="str">
        <f t="shared" si="1"/>
        <v/>
      </c>
      <c r="F7" s="5"/>
      <c r="G7" s="5"/>
    </row>
    <row r="8">
      <c r="A8" s="5" t="s">
        <v>61</v>
      </c>
      <c r="B8" s="5"/>
      <c r="C8" s="5"/>
      <c r="D8" s="5"/>
      <c r="E8" s="22" t="str">
        <f t="shared" si="1"/>
        <v/>
      </c>
      <c r="F8" s="5"/>
      <c r="G8" s="5"/>
    </row>
    <row r="9">
      <c r="A9" s="5" t="s">
        <v>62</v>
      </c>
      <c r="B9" s="5"/>
      <c r="C9" s="5"/>
      <c r="D9" s="5"/>
      <c r="E9" s="22" t="str">
        <f t="shared" si="1"/>
        <v/>
      </c>
      <c r="F9" s="5"/>
      <c r="G9" s="5"/>
    </row>
    <row r="10">
      <c r="A10" s="5" t="s">
        <v>63</v>
      </c>
      <c r="B10" s="5"/>
      <c r="C10" s="5"/>
      <c r="D10" s="5"/>
      <c r="E10" s="22" t="str">
        <f t="shared" si="1"/>
        <v/>
      </c>
      <c r="F10" s="5"/>
      <c r="G10" s="5"/>
    </row>
    <row r="11">
      <c r="A11" s="5" t="s">
        <v>64</v>
      </c>
      <c r="B11" s="5"/>
      <c r="C11" s="5"/>
      <c r="D11" s="5"/>
      <c r="E11" s="22" t="str">
        <f t="shared" si="1"/>
        <v/>
      </c>
      <c r="F11" s="5"/>
      <c r="G11" s="5"/>
    </row>
    <row r="12">
      <c r="A12" s="5"/>
      <c r="B12" s="5"/>
      <c r="C12" s="5"/>
      <c r="D12" s="5"/>
      <c r="E12" s="5" t="str">
        <f t="shared" si="1"/>
        <v/>
      </c>
      <c r="F12" s="5"/>
      <c r="G12" s="5"/>
    </row>
    <row r="13">
      <c r="A13" s="5"/>
      <c r="B13" s="5"/>
      <c r="C13" s="5"/>
      <c r="D13" s="5"/>
      <c r="E13" s="5" t="str">
        <f t="shared" si="1"/>
        <v/>
      </c>
      <c r="F13" s="5"/>
      <c r="G13" s="5"/>
    </row>
    <row r="14">
      <c r="A14" s="5"/>
      <c r="B14" s="5"/>
      <c r="C14" s="5"/>
      <c r="D14" s="5"/>
      <c r="E14" s="5" t="str">
        <f t="shared" si="1"/>
        <v/>
      </c>
      <c r="F14" s="5"/>
      <c r="G14" s="5"/>
    </row>
    <row r="15">
      <c r="A15" s="5"/>
      <c r="B15" s="5"/>
      <c r="C15" s="5"/>
      <c r="D15" s="5"/>
      <c r="E15" s="5" t="str">
        <f t="shared" si="1"/>
        <v/>
      </c>
      <c r="F15" s="5"/>
      <c r="G15" s="5"/>
    </row>
    <row r="16">
      <c r="A16" s="5"/>
      <c r="B16" s="5"/>
      <c r="C16" s="5"/>
      <c r="D16" s="5"/>
      <c r="E16" s="5" t="str">
        <f t="shared" si="1"/>
        <v/>
      </c>
      <c r="F16" s="5"/>
      <c r="G16" s="5"/>
    </row>
    <row r="17">
      <c r="A17" s="5"/>
      <c r="B17" s="5"/>
      <c r="C17" s="5"/>
      <c r="D17" s="5"/>
      <c r="E17" s="5" t="str">
        <f t="shared" si="1"/>
        <v/>
      </c>
      <c r="F17" s="5"/>
      <c r="G17" s="5"/>
    </row>
    <row r="18">
      <c r="A18" s="5"/>
      <c r="B18" s="5"/>
      <c r="C18" s="5"/>
      <c r="D18" s="5"/>
      <c r="E18" s="5" t="str">
        <f t="shared" si="1"/>
        <v/>
      </c>
      <c r="F18" s="5"/>
      <c r="G18" s="5"/>
    </row>
    <row r="19">
      <c r="A19" s="5"/>
      <c r="B19" s="5"/>
      <c r="C19" s="5"/>
      <c r="D19" s="5"/>
      <c r="E19" s="5" t="str">
        <f t="shared" si="1"/>
        <v/>
      </c>
      <c r="F19" s="5"/>
      <c r="G19" s="5"/>
    </row>
    <row r="20">
      <c r="A20" s="5"/>
      <c r="B20" s="5"/>
      <c r="C20" s="5"/>
      <c r="D20" s="5"/>
      <c r="E20" s="5" t="str">
        <f t="shared" si="1"/>
        <v/>
      </c>
      <c r="F20" s="5"/>
      <c r="G20" s="5"/>
    </row>
    <row r="21" ht="15.75" customHeight="1">
      <c r="A21" s="5"/>
      <c r="B21" s="5"/>
      <c r="C21" s="5"/>
      <c r="D21" s="5"/>
      <c r="E21" s="5" t="str">
        <f t="shared" si="1"/>
        <v/>
      </c>
      <c r="F21" s="5"/>
      <c r="G21" s="5"/>
    </row>
    <row r="22" ht="15.75" customHeight="1">
      <c r="A22" s="5"/>
      <c r="B22" s="5"/>
      <c r="C22" s="5"/>
      <c r="D22" s="5"/>
      <c r="E22" s="5" t="str">
        <f t="shared" si="1"/>
        <v/>
      </c>
      <c r="F22" s="5"/>
      <c r="G22" s="5"/>
    </row>
    <row r="23" ht="15.75" customHeight="1">
      <c r="A23" s="5"/>
      <c r="B23" s="5"/>
      <c r="C23" s="5"/>
      <c r="D23" s="5"/>
      <c r="E23" s="5" t="str">
        <f t="shared" si="1"/>
        <v/>
      </c>
      <c r="F23" s="5"/>
      <c r="G23" s="5"/>
    </row>
    <row r="24" ht="15.75" customHeight="1">
      <c r="A24" s="5"/>
      <c r="B24" s="5"/>
      <c r="C24" s="5"/>
      <c r="D24" s="5"/>
      <c r="E24" s="5" t="str">
        <f t="shared" si="1"/>
        <v/>
      </c>
      <c r="F24" s="5"/>
      <c r="G24" s="5"/>
    </row>
    <row r="25" ht="15.75" customHeight="1">
      <c r="A25" s="5"/>
      <c r="B25" s="5"/>
      <c r="C25" s="5"/>
      <c r="D25" s="5"/>
      <c r="E25" s="5" t="str">
        <f t="shared" si="1"/>
        <v/>
      </c>
      <c r="F25" s="5"/>
      <c r="G25" s="5"/>
    </row>
    <row r="26" ht="15.75" customHeight="1">
      <c r="A26" s="5"/>
      <c r="B26" s="5"/>
      <c r="C26" s="5"/>
      <c r="D26" s="5"/>
      <c r="E26" s="5" t="str">
        <f t="shared" si="1"/>
        <v/>
      </c>
      <c r="F26" s="5"/>
      <c r="G26" s="5"/>
    </row>
    <row r="27" ht="15.75" customHeight="1">
      <c r="A27" s="5"/>
      <c r="B27" s="5"/>
      <c r="C27" s="5"/>
      <c r="D27" s="5"/>
      <c r="E27" s="5" t="str">
        <f t="shared" si="1"/>
        <v/>
      </c>
      <c r="F27" s="5"/>
      <c r="G27" s="5"/>
    </row>
    <row r="28" ht="15.75" customHeight="1">
      <c r="A28" s="5"/>
      <c r="B28" s="5"/>
      <c r="C28" s="5"/>
      <c r="D28" s="5"/>
      <c r="E28" s="5" t="str">
        <f t="shared" si="1"/>
        <v/>
      </c>
      <c r="F28" s="5"/>
      <c r="G28" s="5"/>
    </row>
    <row r="29" ht="15.75" customHeight="1">
      <c r="A29" s="5"/>
      <c r="B29" s="5"/>
      <c r="C29" s="5"/>
      <c r="D29" s="5"/>
      <c r="E29" s="5" t="str">
        <f t="shared" si="1"/>
        <v/>
      </c>
      <c r="F29" s="5"/>
      <c r="G29" s="5"/>
    </row>
    <row r="30" ht="15.75" customHeight="1">
      <c r="A30" s="5"/>
      <c r="B30" s="5"/>
      <c r="C30" s="5"/>
      <c r="D30" s="5"/>
      <c r="E30" s="5" t="str">
        <f t="shared" si="1"/>
        <v/>
      </c>
      <c r="F30" s="5"/>
      <c r="G30" s="5"/>
    </row>
    <row r="31" ht="15.75" customHeight="1">
      <c r="A31" s="5"/>
      <c r="B31" s="5"/>
      <c r="C31" s="5"/>
      <c r="D31" s="5"/>
      <c r="E31" s="5" t="str">
        <f t="shared" si="1"/>
        <v/>
      </c>
      <c r="F31" s="5"/>
      <c r="G31" s="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6" width="15.0"/>
    <col customWidth="1" min="7" max="26" width="14.38"/>
  </cols>
  <sheetData>
    <row r="1">
      <c r="A1" s="23" t="s">
        <v>65</v>
      </c>
    </row>
    <row r="3">
      <c r="A3" s="24" t="s">
        <v>66</v>
      </c>
    </row>
    <row r="5">
      <c r="A5" s="4" t="s">
        <v>53</v>
      </c>
      <c r="B5" s="4" t="s">
        <v>67</v>
      </c>
      <c r="C5" s="4" t="s">
        <v>68</v>
      </c>
      <c r="D5" s="4" t="s">
        <v>69</v>
      </c>
      <c r="E5" s="4" t="s">
        <v>70</v>
      </c>
    </row>
    <row r="6">
      <c r="A6" s="5" t="s">
        <v>57</v>
      </c>
      <c r="B6" s="25">
        <v>15.0</v>
      </c>
      <c r="C6" s="26">
        <f t="shared" ref="C6:C23" si="1">IF(B6&lt;&gt;"",ROUND(B6*0.5,1),"")</f>
        <v>7.5</v>
      </c>
      <c r="D6" s="26">
        <f t="shared" ref="D6:D23" si="2">IF(B6&lt;&gt;"",ROUND(B6*0.7,1),"")</f>
        <v>10.5</v>
      </c>
      <c r="E6" s="26">
        <f t="shared" ref="E6:E23" si="3">IF(B6&lt;&gt;"",ROUND(B6*0.85,1),"")</f>
        <v>12.8</v>
      </c>
    </row>
    <row r="7">
      <c r="A7" s="5" t="s">
        <v>58</v>
      </c>
      <c r="B7" s="25">
        <v>15.0</v>
      </c>
      <c r="C7" s="26">
        <f t="shared" si="1"/>
        <v>7.5</v>
      </c>
      <c r="D7" s="26">
        <f t="shared" si="2"/>
        <v>10.5</v>
      </c>
      <c r="E7" s="26">
        <f t="shared" si="3"/>
        <v>12.8</v>
      </c>
    </row>
    <row r="8">
      <c r="A8" s="5" t="s">
        <v>59</v>
      </c>
      <c r="B8" s="25">
        <v>5.0</v>
      </c>
      <c r="C8" s="26">
        <f t="shared" si="1"/>
        <v>2.5</v>
      </c>
      <c r="D8" s="26">
        <f t="shared" si="2"/>
        <v>3.5</v>
      </c>
      <c r="E8" s="26">
        <f t="shared" si="3"/>
        <v>4.3</v>
      </c>
    </row>
    <row r="9">
      <c r="A9" s="5" t="s">
        <v>60</v>
      </c>
      <c r="B9" s="25">
        <v>30.0</v>
      </c>
      <c r="C9" s="26">
        <f t="shared" si="1"/>
        <v>15</v>
      </c>
      <c r="D9" s="26">
        <f t="shared" si="2"/>
        <v>21</v>
      </c>
      <c r="E9" s="26">
        <f t="shared" si="3"/>
        <v>25.5</v>
      </c>
    </row>
    <row r="10">
      <c r="A10" s="5" t="s">
        <v>61</v>
      </c>
      <c r="B10" s="25">
        <v>75.0</v>
      </c>
      <c r="C10" s="26">
        <f t="shared" si="1"/>
        <v>37.5</v>
      </c>
      <c r="D10" s="26">
        <f t="shared" si="2"/>
        <v>52.5</v>
      </c>
      <c r="E10" s="26">
        <f t="shared" si="3"/>
        <v>63.8</v>
      </c>
    </row>
    <row r="11">
      <c r="A11" s="5" t="s">
        <v>62</v>
      </c>
      <c r="B11" s="25">
        <v>10.0</v>
      </c>
      <c r="C11" s="26">
        <f t="shared" si="1"/>
        <v>5</v>
      </c>
      <c r="D11" s="26">
        <f t="shared" si="2"/>
        <v>7</v>
      </c>
      <c r="E11" s="26">
        <f t="shared" si="3"/>
        <v>8.5</v>
      </c>
    </row>
    <row r="12">
      <c r="A12" s="5" t="s">
        <v>63</v>
      </c>
      <c r="B12" s="25">
        <v>25.0</v>
      </c>
      <c r="C12" s="26">
        <f t="shared" si="1"/>
        <v>12.5</v>
      </c>
      <c r="D12" s="26">
        <f t="shared" si="2"/>
        <v>17.5</v>
      </c>
      <c r="E12" s="26">
        <f t="shared" si="3"/>
        <v>21.3</v>
      </c>
    </row>
    <row r="13">
      <c r="A13" s="5" t="s">
        <v>64</v>
      </c>
      <c r="B13" s="25">
        <v>27.0</v>
      </c>
      <c r="C13" s="26">
        <f t="shared" si="1"/>
        <v>13.5</v>
      </c>
      <c r="D13" s="26">
        <f t="shared" si="2"/>
        <v>18.9</v>
      </c>
      <c r="E13" s="26">
        <f t="shared" si="3"/>
        <v>23</v>
      </c>
    </row>
    <row r="14">
      <c r="A14" s="5"/>
      <c r="B14" s="5"/>
      <c r="C14" s="5" t="str">
        <f t="shared" si="1"/>
        <v/>
      </c>
      <c r="D14" s="5" t="str">
        <f t="shared" si="2"/>
        <v/>
      </c>
      <c r="E14" s="5" t="str">
        <f t="shared" si="3"/>
        <v/>
      </c>
    </row>
    <row r="15">
      <c r="A15" s="5"/>
      <c r="B15" s="5"/>
      <c r="C15" s="5" t="str">
        <f t="shared" si="1"/>
        <v/>
      </c>
      <c r="D15" s="5" t="str">
        <f t="shared" si="2"/>
        <v/>
      </c>
      <c r="E15" s="5" t="str">
        <f t="shared" si="3"/>
        <v/>
      </c>
    </row>
    <row r="16">
      <c r="A16" s="5"/>
      <c r="B16" s="5"/>
      <c r="C16" s="5" t="str">
        <f t="shared" si="1"/>
        <v/>
      </c>
      <c r="D16" s="5" t="str">
        <f t="shared" si="2"/>
        <v/>
      </c>
      <c r="E16" s="5" t="str">
        <f t="shared" si="3"/>
        <v/>
      </c>
    </row>
    <row r="17">
      <c r="A17" s="5"/>
      <c r="B17" s="5"/>
      <c r="C17" s="5" t="str">
        <f t="shared" si="1"/>
        <v/>
      </c>
      <c r="D17" s="5" t="str">
        <f t="shared" si="2"/>
        <v/>
      </c>
      <c r="E17" s="5" t="str">
        <f t="shared" si="3"/>
        <v/>
      </c>
    </row>
    <row r="18">
      <c r="A18" s="5"/>
      <c r="B18" s="5"/>
      <c r="C18" s="5" t="str">
        <f t="shared" si="1"/>
        <v/>
      </c>
      <c r="D18" s="5" t="str">
        <f t="shared" si="2"/>
        <v/>
      </c>
      <c r="E18" s="5" t="str">
        <f t="shared" si="3"/>
        <v/>
      </c>
    </row>
    <row r="19">
      <c r="A19" s="5"/>
      <c r="B19" s="5"/>
      <c r="C19" s="5" t="str">
        <f t="shared" si="1"/>
        <v/>
      </c>
      <c r="D19" s="5" t="str">
        <f t="shared" si="2"/>
        <v/>
      </c>
      <c r="E19" s="5" t="str">
        <f t="shared" si="3"/>
        <v/>
      </c>
    </row>
    <row r="20">
      <c r="A20" s="5"/>
      <c r="B20" s="5"/>
      <c r="C20" s="5" t="str">
        <f t="shared" si="1"/>
        <v/>
      </c>
      <c r="D20" s="5" t="str">
        <f t="shared" si="2"/>
        <v/>
      </c>
      <c r="E20" s="5" t="str">
        <f t="shared" si="3"/>
        <v/>
      </c>
    </row>
    <row r="21" ht="15.75" customHeight="1">
      <c r="A21" s="5"/>
      <c r="B21" s="5"/>
      <c r="C21" s="5" t="str">
        <f t="shared" si="1"/>
        <v/>
      </c>
      <c r="D21" s="5" t="str">
        <f t="shared" si="2"/>
        <v/>
      </c>
      <c r="E21" s="5" t="str">
        <f t="shared" si="3"/>
        <v/>
      </c>
    </row>
    <row r="22" ht="15.75" customHeight="1">
      <c r="A22" s="5"/>
      <c r="B22" s="5"/>
      <c r="C22" s="5" t="str">
        <f t="shared" si="1"/>
        <v/>
      </c>
      <c r="D22" s="5" t="str">
        <f t="shared" si="2"/>
        <v/>
      </c>
      <c r="E22" s="5" t="str">
        <f t="shared" si="3"/>
        <v/>
      </c>
    </row>
    <row r="23" ht="15.75" customHeight="1">
      <c r="A23" s="5"/>
      <c r="B23" s="5"/>
      <c r="C23" s="5" t="str">
        <f t="shared" si="1"/>
        <v/>
      </c>
      <c r="D23" s="5" t="str">
        <f t="shared" si="2"/>
        <v/>
      </c>
      <c r="E23" s="5" t="str">
        <f t="shared" si="3"/>
        <v/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8" width="12.0"/>
    <col customWidth="1" min="9" max="9" width="30.0"/>
    <col customWidth="1" min="10" max="10" width="10.0"/>
    <col customWidth="1" min="11" max="11" width="25.0"/>
    <col customWidth="1" min="12" max="12" width="10.0"/>
    <col customWidth="1" min="13" max="26" width="14.38"/>
  </cols>
  <sheetData>
    <row r="1" ht="30.0" customHeight="1">
      <c r="A1" s="27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ht="24.75" customHeight="1">
      <c r="A3" s="28" t="s">
        <v>72</v>
      </c>
    </row>
    <row r="6">
      <c r="A6" s="29" t="s">
        <v>53</v>
      </c>
      <c r="B6" s="29" t="s">
        <v>73</v>
      </c>
      <c r="C6" s="30" t="s">
        <v>74</v>
      </c>
      <c r="D6" s="2"/>
      <c r="E6" s="2"/>
      <c r="F6" s="2"/>
    </row>
    <row r="7">
      <c r="A7" s="24" t="s">
        <v>57</v>
      </c>
      <c r="B7" s="31" t="s">
        <v>75</v>
      </c>
      <c r="C7" s="32" t="s">
        <v>76</v>
      </c>
    </row>
    <row r="8">
      <c r="A8" s="24" t="s">
        <v>60</v>
      </c>
      <c r="B8" s="33" t="s">
        <v>77</v>
      </c>
      <c r="C8" s="32" t="s">
        <v>78</v>
      </c>
    </row>
    <row r="9">
      <c r="A9" s="24" t="s">
        <v>79</v>
      </c>
      <c r="B9" s="31" t="s">
        <v>75</v>
      </c>
      <c r="C9" s="32" t="s">
        <v>80</v>
      </c>
    </row>
    <row r="10">
      <c r="A10" s="24" t="s">
        <v>81</v>
      </c>
      <c r="B10" s="33" t="s">
        <v>77</v>
      </c>
      <c r="C10" s="32" t="s">
        <v>82</v>
      </c>
    </row>
    <row r="11">
      <c r="A11" s="24" t="s">
        <v>83</v>
      </c>
      <c r="B11" s="31" t="s">
        <v>75</v>
      </c>
      <c r="C11" s="32" t="s">
        <v>84</v>
      </c>
    </row>
    <row r="12">
      <c r="A12" s="24" t="s">
        <v>85</v>
      </c>
      <c r="B12" s="33" t="s">
        <v>77</v>
      </c>
      <c r="C12" s="32" t="s">
        <v>36</v>
      </c>
    </row>
    <row r="13">
      <c r="A13" s="24" t="s">
        <v>86</v>
      </c>
      <c r="B13" s="33" t="s">
        <v>87</v>
      </c>
      <c r="C13" s="32" t="s">
        <v>88</v>
      </c>
    </row>
    <row r="16" ht="21.75" customHeight="1">
      <c r="A16" s="34" t="s">
        <v>89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8">
      <c r="A18" s="35" t="s">
        <v>90</v>
      </c>
      <c r="B18" s="36"/>
      <c r="C18" s="37"/>
      <c r="D18" s="38"/>
      <c r="E18" s="38"/>
      <c r="F18" s="38"/>
      <c r="G18" s="38"/>
      <c r="H18" s="38"/>
      <c r="I18" s="38"/>
      <c r="J18" s="38"/>
      <c r="K18" s="39" t="s">
        <v>91</v>
      </c>
      <c r="L18" s="40"/>
    </row>
    <row r="19">
      <c r="A19" s="4" t="s">
        <v>92</v>
      </c>
      <c r="B19" s="4" t="s">
        <v>93</v>
      </c>
      <c r="C19" s="4" t="s">
        <v>94</v>
      </c>
      <c r="D19" s="4" t="s">
        <v>41</v>
      </c>
      <c r="E19" s="4" t="s">
        <v>95</v>
      </c>
      <c r="F19" s="4" t="s">
        <v>96</v>
      </c>
      <c r="G19" s="4" t="s">
        <v>97</v>
      </c>
      <c r="H19" s="4" t="s">
        <v>55</v>
      </c>
      <c r="I19" s="4" t="s">
        <v>47</v>
      </c>
      <c r="J19" s="4" t="s">
        <v>98</v>
      </c>
      <c r="K19" s="4" t="s">
        <v>28</v>
      </c>
      <c r="L19" s="4" t="s">
        <v>99</v>
      </c>
    </row>
    <row r="20">
      <c r="A20" s="26" t="s">
        <v>100</v>
      </c>
      <c r="B20" s="5" t="s">
        <v>101</v>
      </c>
      <c r="C20" s="5"/>
      <c r="D20" s="7">
        <v>2.5</v>
      </c>
      <c r="E20" s="5">
        <v>10.0</v>
      </c>
      <c r="F20" s="5"/>
      <c r="G20" s="5"/>
      <c r="H20" s="5"/>
      <c r="I20" s="5"/>
      <c r="J20" s="5"/>
      <c r="K20" s="5"/>
      <c r="L20" s="5"/>
    </row>
    <row r="21" ht="15.75" customHeight="1">
      <c r="A21" s="26" t="s">
        <v>102</v>
      </c>
      <c r="B21" s="5" t="s">
        <v>103</v>
      </c>
      <c r="C21" s="5"/>
      <c r="D21" s="7">
        <v>5.0</v>
      </c>
      <c r="E21" s="5">
        <v>6.0</v>
      </c>
      <c r="F21" s="5"/>
      <c r="G21" s="5"/>
      <c r="H21" s="5"/>
      <c r="I21" s="5"/>
      <c r="J21" s="5"/>
      <c r="K21" s="5"/>
      <c r="L21" s="5"/>
    </row>
    <row r="22" ht="15.75" customHeight="1">
      <c r="A22" s="26" t="s">
        <v>104</v>
      </c>
      <c r="B22" s="5" t="s">
        <v>105</v>
      </c>
      <c r="C22" s="5"/>
      <c r="D22" s="7">
        <v>7.5</v>
      </c>
      <c r="E22" s="41">
        <v>10.0</v>
      </c>
      <c r="F22" s="5"/>
      <c r="G22" s="5"/>
      <c r="H22" s="5"/>
      <c r="I22" s="5"/>
      <c r="J22" s="5"/>
      <c r="K22" s="5"/>
      <c r="L22" s="5"/>
    </row>
    <row r="23" ht="15.75" customHeight="1">
      <c r="A23" s="25" t="s">
        <v>106</v>
      </c>
      <c r="B23" s="5" t="s">
        <v>101</v>
      </c>
      <c r="C23" s="7">
        <v>7.0</v>
      </c>
      <c r="D23" s="7">
        <v>10.0</v>
      </c>
      <c r="E23" s="5">
        <v>10.0</v>
      </c>
      <c r="F23" s="7">
        <v>8.0</v>
      </c>
      <c r="G23" s="25">
        <f t="shared" ref="G23:G24" si="1">IF(AND(D23&lt;&gt;"",E23&lt;&gt;""),D23*E23,0)</f>
        <v>100</v>
      </c>
      <c r="H23" s="22">
        <f t="shared" ref="H23:H24" si="2">IF(AND(D23&lt;&gt;"",E23&lt;&gt;""),ROUND(D23*(1+E23/30),1),"")</f>
        <v>13.3</v>
      </c>
      <c r="I23" s="5"/>
      <c r="J23" s="5"/>
      <c r="K23" s="5"/>
      <c r="L23" s="5"/>
    </row>
    <row r="24" ht="15.75" customHeight="1">
      <c r="A24" s="25" t="s">
        <v>107</v>
      </c>
      <c r="B24" s="5" t="s">
        <v>101</v>
      </c>
      <c r="C24" s="7">
        <v>7.0</v>
      </c>
      <c r="D24" s="7">
        <v>10.0</v>
      </c>
      <c r="E24" s="5">
        <v>10.0</v>
      </c>
      <c r="F24" s="7">
        <v>8.0</v>
      </c>
      <c r="G24" s="25">
        <f t="shared" si="1"/>
        <v>100</v>
      </c>
      <c r="H24" s="22">
        <f t="shared" si="2"/>
        <v>13.3</v>
      </c>
      <c r="I24" s="5"/>
      <c r="J24" s="5"/>
      <c r="K24" s="5"/>
      <c r="L24" s="5"/>
    </row>
    <row r="25" ht="15.75" customHeight="1">
      <c r="A25" s="9" t="s">
        <v>108</v>
      </c>
      <c r="B25" s="10"/>
      <c r="C25" s="10"/>
      <c r="D25" s="10"/>
      <c r="E25" s="10"/>
      <c r="F25" s="10"/>
      <c r="G25" s="9">
        <f>G23+G24</f>
        <v>200</v>
      </c>
      <c r="H25" s="42">
        <f>MAX(H23,H24)</f>
        <v>13.3</v>
      </c>
      <c r="I25" s="10"/>
      <c r="J25" s="43">
        <v>1.0</v>
      </c>
      <c r="K25" s="43" t="s">
        <v>31</v>
      </c>
      <c r="L25" s="43">
        <v>2.0</v>
      </c>
    </row>
    <row r="26" ht="15.75" customHeight="1">
      <c r="A26" s="16" t="s">
        <v>109</v>
      </c>
      <c r="B26" s="10" t="s">
        <v>110</v>
      </c>
      <c r="C26" s="38"/>
      <c r="D26" s="38"/>
      <c r="E26" s="38"/>
      <c r="F26" s="38"/>
      <c r="G26" s="38"/>
      <c r="H26" s="38"/>
      <c r="I26" s="38"/>
      <c r="J26" s="38"/>
      <c r="K26" s="38"/>
      <c r="L26" s="40"/>
    </row>
    <row r="27" ht="15.75" customHeight="1">
      <c r="A27" s="16" t="s">
        <v>111</v>
      </c>
      <c r="B27" s="10" t="s">
        <v>112</v>
      </c>
      <c r="C27" s="38"/>
      <c r="D27" s="38"/>
      <c r="E27" s="38"/>
      <c r="F27" s="38"/>
      <c r="G27" s="38"/>
      <c r="H27" s="38"/>
      <c r="I27" s="38"/>
      <c r="J27" s="38"/>
      <c r="K27" s="38"/>
      <c r="L27" s="40"/>
    </row>
    <row r="28" ht="15.75" customHeight="1"/>
    <row r="29" ht="15.75" customHeight="1">
      <c r="A29" s="44" t="s">
        <v>60</v>
      </c>
      <c r="B29" s="36"/>
      <c r="C29" s="37"/>
      <c r="D29" s="38"/>
      <c r="E29" s="38"/>
      <c r="F29" s="38"/>
      <c r="G29" s="38"/>
      <c r="H29" s="38"/>
      <c r="I29" s="38"/>
      <c r="J29" s="38"/>
      <c r="K29" s="39" t="s">
        <v>113</v>
      </c>
      <c r="L29" s="40"/>
    </row>
    <row r="30" ht="15.75" customHeight="1">
      <c r="A30" s="4" t="s">
        <v>92</v>
      </c>
      <c r="B30" s="4" t="s">
        <v>93</v>
      </c>
      <c r="C30" s="4" t="s">
        <v>94</v>
      </c>
      <c r="D30" s="4" t="s">
        <v>41</v>
      </c>
      <c r="E30" s="4" t="s">
        <v>95</v>
      </c>
      <c r="F30" s="4" t="s">
        <v>96</v>
      </c>
      <c r="G30" s="4" t="s">
        <v>97</v>
      </c>
      <c r="H30" s="4" t="s">
        <v>55</v>
      </c>
      <c r="I30" s="4" t="s">
        <v>47</v>
      </c>
      <c r="J30" s="4" t="s">
        <v>98</v>
      </c>
      <c r="K30" s="4" t="s">
        <v>28</v>
      </c>
      <c r="L30" s="4" t="s">
        <v>99</v>
      </c>
    </row>
    <row r="31" ht="15.75" customHeight="1">
      <c r="A31" s="26" t="s">
        <v>100</v>
      </c>
      <c r="B31" s="5" t="s">
        <v>114</v>
      </c>
      <c r="C31" s="5"/>
      <c r="D31" s="7">
        <v>16.0</v>
      </c>
      <c r="E31" s="7">
        <v>10.0</v>
      </c>
      <c r="F31" s="5"/>
      <c r="G31" s="5"/>
      <c r="H31" s="5"/>
      <c r="I31" s="5"/>
      <c r="J31" s="5"/>
      <c r="K31" s="5"/>
      <c r="L31" s="5"/>
    </row>
    <row r="32" ht="15.75" customHeight="1">
      <c r="A32" s="26" t="s">
        <v>102</v>
      </c>
      <c r="B32" s="5" t="s">
        <v>115</v>
      </c>
      <c r="C32" s="5"/>
      <c r="D32" s="7">
        <v>20.0</v>
      </c>
      <c r="E32" s="7">
        <v>8.0</v>
      </c>
      <c r="F32" s="5"/>
      <c r="G32" s="5"/>
      <c r="H32" s="5"/>
      <c r="I32" s="5"/>
      <c r="J32" s="5"/>
      <c r="K32" s="5"/>
      <c r="L32" s="5"/>
    </row>
    <row r="33" ht="15.75" customHeight="1">
      <c r="A33" s="25" t="s">
        <v>106</v>
      </c>
      <c r="B33" s="5" t="s">
        <v>101</v>
      </c>
      <c r="C33" s="5">
        <v>7.0</v>
      </c>
      <c r="D33" s="5">
        <v>25.0</v>
      </c>
      <c r="E33" s="5">
        <v>10.0</v>
      </c>
      <c r="F33" s="7">
        <v>7.0</v>
      </c>
      <c r="G33" s="25">
        <f t="shared" ref="G33:G34" si="3">IF(AND(D33&lt;&gt;"",E33&lt;&gt;""),D33*E33,0)</f>
        <v>250</v>
      </c>
      <c r="H33" s="22">
        <f t="shared" ref="H33:H34" si="4">IF(AND(D33&lt;&gt;"",E33&lt;&gt;""),ROUND(D33*(1+E33/30),1),"")</f>
        <v>33.3</v>
      </c>
      <c r="I33" s="5"/>
      <c r="J33" s="5"/>
      <c r="K33" s="5"/>
      <c r="L33" s="5"/>
    </row>
    <row r="34" ht="15.75" customHeight="1">
      <c r="A34" s="25" t="s">
        <v>107</v>
      </c>
      <c r="B34" s="5" t="s">
        <v>101</v>
      </c>
      <c r="C34" s="5">
        <v>7.0</v>
      </c>
      <c r="D34" s="5">
        <v>30.0</v>
      </c>
      <c r="E34" s="5">
        <v>10.0</v>
      </c>
      <c r="F34" s="7">
        <v>8.0</v>
      </c>
      <c r="G34" s="25">
        <f t="shared" si="3"/>
        <v>300</v>
      </c>
      <c r="H34" s="22">
        <f t="shared" si="4"/>
        <v>40</v>
      </c>
      <c r="I34" s="5"/>
      <c r="J34" s="5"/>
      <c r="K34" s="5"/>
      <c r="L34" s="5"/>
    </row>
    <row r="35" ht="15.75" customHeight="1">
      <c r="A35" s="9" t="s">
        <v>108</v>
      </c>
      <c r="B35" s="10"/>
      <c r="C35" s="10"/>
      <c r="D35" s="10"/>
      <c r="E35" s="10"/>
      <c r="F35" s="10"/>
      <c r="G35" s="9">
        <f>G33+G34</f>
        <v>550</v>
      </c>
      <c r="H35" s="42">
        <f>MAX(H33,H34)</f>
        <v>40</v>
      </c>
      <c r="I35" s="10"/>
      <c r="J35" s="43">
        <v>1.0</v>
      </c>
      <c r="K35" s="43" t="s">
        <v>34</v>
      </c>
      <c r="L35" s="43">
        <v>2.0</v>
      </c>
    </row>
    <row r="36" ht="15.75" customHeight="1">
      <c r="A36" s="16" t="s">
        <v>109</v>
      </c>
      <c r="B36" s="10" t="s">
        <v>116</v>
      </c>
      <c r="C36" s="38"/>
      <c r="D36" s="38"/>
      <c r="E36" s="38"/>
      <c r="F36" s="38"/>
      <c r="G36" s="38"/>
      <c r="H36" s="38"/>
      <c r="I36" s="38"/>
      <c r="J36" s="38"/>
      <c r="K36" s="38"/>
      <c r="L36" s="40"/>
    </row>
    <row r="37" ht="15.75" customHeight="1">
      <c r="A37" s="16" t="s">
        <v>111</v>
      </c>
      <c r="B37" s="10" t="s">
        <v>117</v>
      </c>
      <c r="C37" s="38"/>
      <c r="D37" s="38"/>
      <c r="E37" s="38"/>
      <c r="F37" s="38"/>
      <c r="G37" s="38"/>
      <c r="H37" s="38"/>
      <c r="I37" s="38"/>
      <c r="J37" s="38"/>
      <c r="K37" s="38"/>
      <c r="L37" s="40"/>
    </row>
    <row r="38" ht="15.75" customHeight="1"/>
    <row r="39" ht="15.75" customHeight="1">
      <c r="A39" s="44" t="s">
        <v>79</v>
      </c>
      <c r="B39" s="36"/>
      <c r="C39" s="37"/>
      <c r="D39" s="38"/>
      <c r="E39" s="38"/>
      <c r="F39" s="38"/>
      <c r="G39" s="38"/>
      <c r="H39" s="38"/>
      <c r="I39" s="38"/>
      <c r="J39" s="38"/>
      <c r="K39" s="39" t="s">
        <v>118</v>
      </c>
      <c r="L39" s="40"/>
    </row>
    <row r="40" ht="15.75" customHeight="1">
      <c r="A40" s="4" t="s">
        <v>92</v>
      </c>
      <c r="B40" s="4" t="s">
        <v>93</v>
      </c>
      <c r="C40" s="4" t="s">
        <v>94</v>
      </c>
      <c r="D40" s="4" t="s">
        <v>41</v>
      </c>
      <c r="E40" s="4" t="s">
        <v>95</v>
      </c>
      <c r="F40" s="4" t="s">
        <v>96</v>
      </c>
      <c r="G40" s="4" t="s">
        <v>97</v>
      </c>
      <c r="H40" s="4" t="s">
        <v>55</v>
      </c>
      <c r="I40" s="4" t="s">
        <v>47</v>
      </c>
      <c r="J40" s="4" t="s">
        <v>98</v>
      </c>
      <c r="K40" s="4" t="s">
        <v>28</v>
      </c>
      <c r="L40" s="4" t="s">
        <v>99</v>
      </c>
    </row>
    <row r="41" ht="15.75" customHeight="1">
      <c r="A41" s="26" t="s">
        <v>100</v>
      </c>
      <c r="B41" s="5" t="s">
        <v>101</v>
      </c>
      <c r="C41" s="5"/>
      <c r="D41" s="7">
        <v>3.0</v>
      </c>
      <c r="E41" s="7">
        <v>10.0</v>
      </c>
      <c r="F41" s="5"/>
      <c r="G41" s="5"/>
      <c r="H41" s="5"/>
      <c r="I41" s="5"/>
      <c r="J41" s="5"/>
      <c r="K41" s="5"/>
      <c r="L41" s="5"/>
    </row>
    <row r="42" ht="15.75" customHeight="1">
      <c r="A42" s="45" t="s">
        <v>102</v>
      </c>
      <c r="B42" s="46">
        <v>45783.0</v>
      </c>
      <c r="C42" s="5"/>
      <c r="D42" s="7">
        <v>5.0</v>
      </c>
      <c r="E42" s="7">
        <v>6.0</v>
      </c>
      <c r="F42" s="5"/>
      <c r="G42" s="5"/>
      <c r="H42" s="5"/>
      <c r="I42" s="5"/>
      <c r="J42" s="5"/>
      <c r="K42" s="5"/>
      <c r="L42" s="5"/>
    </row>
    <row r="43" ht="15.75" customHeight="1">
      <c r="A43" s="45" t="s">
        <v>104</v>
      </c>
      <c r="B43" s="46">
        <v>45720.0</v>
      </c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5.75" customHeight="1">
      <c r="A44" s="25" t="s">
        <v>106</v>
      </c>
      <c r="B44" s="5" t="s">
        <v>114</v>
      </c>
      <c r="C44" s="5">
        <v>7.0</v>
      </c>
      <c r="D44" s="5">
        <v>7.5</v>
      </c>
      <c r="E44" s="5">
        <v>10.0</v>
      </c>
      <c r="F44" s="7">
        <v>8.0</v>
      </c>
      <c r="G44" s="25">
        <f t="shared" ref="G44:G45" si="5">IF(AND(D44&lt;&gt;"",E44&lt;&gt;""),D44*E44,0)</f>
        <v>75</v>
      </c>
      <c r="H44" s="22">
        <f t="shared" ref="H44:H45" si="6">IF(AND(D44&lt;&gt;"",E44&lt;&gt;""),ROUND(D44*(1+E44/30),1),"")</f>
        <v>10</v>
      </c>
      <c r="I44" s="5"/>
      <c r="J44" s="5"/>
      <c r="K44" s="5"/>
      <c r="L44" s="5"/>
    </row>
    <row r="45" ht="15.75" customHeight="1">
      <c r="A45" s="25" t="s">
        <v>107</v>
      </c>
      <c r="B45" s="5" t="s">
        <v>114</v>
      </c>
      <c r="C45" s="5">
        <v>7.0</v>
      </c>
      <c r="D45" s="5">
        <v>7.5</v>
      </c>
      <c r="E45" s="5">
        <v>10.0</v>
      </c>
      <c r="F45" s="5"/>
      <c r="G45" s="25">
        <f t="shared" si="5"/>
        <v>75</v>
      </c>
      <c r="H45" s="22">
        <f t="shared" si="6"/>
        <v>10</v>
      </c>
      <c r="I45" s="5"/>
      <c r="J45" s="5"/>
      <c r="K45" s="5"/>
      <c r="L45" s="5"/>
    </row>
    <row r="46" ht="15.75" customHeight="1">
      <c r="A46" s="9" t="s">
        <v>108</v>
      </c>
      <c r="B46" s="10"/>
      <c r="C46" s="10"/>
      <c r="D46" s="10"/>
      <c r="E46" s="10"/>
      <c r="F46" s="10"/>
      <c r="G46" s="9">
        <f>G44+G45</f>
        <v>150</v>
      </c>
      <c r="H46" s="42">
        <f>MAX(H44,H45)</f>
        <v>10</v>
      </c>
      <c r="I46" s="10"/>
      <c r="J46" s="43">
        <v>1.0</v>
      </c>
      <c r="K46" s="43" t="s">
        <v>32</v>
      </c>
      <c r="L46" s="43">
        <v>2.0</v>
      </c>
    </row>
    <row r="47" ht="15.75" customHeight="1">
      <c r="A47" s="16" t="s">
        <v>109</v>
      </c>
      <c r="B47" s="10" t="s">
        <v>119</v>
      </c>
      <c r="C47" s="38"/>
      <c r="D47" s="38"/>
      <c r="E47" s="38"/>
      <c r="F47" s="38"/>
      <c r="G47" s="38"/>
      <c r="H47" s="38"/>
      <c r="I47" s="38"/>
      <c r="J47" s="38"/>
      <c r="K47" s="38"/>
      <c r="L47" s="40"/>
    </row>
    <row r="48" ht="15.75" customHeight="1">
      <c r="A48" s="16" t="s">
        <v>111</v>
      </c>
      <c r="B48" s="10" t="s">
        <v>120</v>
      </c>
      <c r="C48" s="38"/>
      <c r="D48" s="38"/>
      <c r="E48" s="38"/>
      <c r="F48" s="38"/>
      <c r="G48" s="38"/>
      <c r="H48" s="38"/>
      <c r="I48" s="38"/>
      <c r="J48" s="38"/>
      <c r="K48" s="38"/>
      <c r="L48" s="40"/>
    </row>
    <row r="49" ht="15.75" customHeight="1"/>
    <row r="50" ht="15.75" customHeight="1">
      <c r="A50" s="44" t="s">
        <v>81</v>
      </c>
      <c r="B50" s="36"/>
      <c r="C50" s="37"/>
      <c r="D50" s="38"/>
      <c r="E50" s="38"/>
      <c r="F50" s="38"/>
      <c r="G50" s="38"/>
      <c r="H50" s="38"/>
      <c r="I50" s="38"/>
      <c r="J50" s="38"/>
      <c r="K50" s="39" t="s">
        <v>121</v>
      </c>
      <c r="L50" s="40"/>
    </row>
    <row r="51" ht="15.75" customHeight="1">
      <c r="A51" s="4" t="s">
        <v>92</v>
      </c>
      <c r="B51" s="4" t="s">
        <v>93</v>
      </c>
      <c r="C51" s="4" t="s">
        <v>94</v>
      </c>
      <c r="D51" s="4" t="s">
        <v>41</v>
      </c>
      <c r="E51" s="4" t="s">
        <v>95</v>
      </c>
      <c r="F51" s="4" t="s">
        <v>96</v>
      </c>
      <c r="G51" s="4" t="s">
        <v>97</v>
      </c>
      <c r="H51" s="4" t="s">
        <v>55</v>
      </c>
      <c r="I51" s="4" t="s">
        <v>47</v>
      </c>
      <c r="J51" s="4" t="s">
        <v>98</v>
      </c>
      <c r="K51" s="4" t="s">
        <v>28</v>
      </c>
      <c r="L51" s="4" t="s">
        <v>99</v>
      </c>
    </row>
    <row r="52" ht="15.75" customHeight="1">
      <c r="A52" s="26" t="s">
        <v>100</v>
      </c>
      <c r="B52" s="5" t="s">
        <v>101</v>
      </c>
      <c r="C52" s="5"/>
      <c r="D52" s="7">
        <v>15.0</v>
      </c>
      <c r="E52" s="5"/>
      <c r="F52" s="5"/>
      <c r="G52" s="5"/>
      <c r="H52" s="5"/>
      <c r="I52" s="5"/>
      <c r="J52" s="5"/>
      <c r="K52" s="5"/>
      <c r="L52" s="5"/>
    </row>
    <row r="53" ht="15.75" customHeight="1">
      <c r="A53" s="45" t="s">
        <v>102</v>
      </c>
      <c r="B53" s="46">
        <v>45783.0</v>
      </c>
      <c r="C53" s="5"/>
      <c r="D53" s="7">
        <v>25.0</v>
      </c>
      <c r="E53" s="5"/>
      <c r="F53" s="5"/>
      <c r="G53" s="5"/>
      <c r="H53" s="5"/>
      <c r="I53" s="5"/>
      <c r="J53" s="5"/>
      <c r="K53" s="5"/>
      <c r="L53" s="5"/>
    </row>
    <row r="54" ht="15.75" customHeight="1">
      <c r="A54" s="45" t="s">
        <v>104</v>
      </c>
      <c r="B54" s="46">
        <v>45720.0</v>
      </c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5.75" customHeight="1">
      <c r="A55" s="25" t="s">
        <v>106</v>
      </c>
      <c r="B55" s="5" t="s">
        <v>101</v>
      </c>
      <c r="C55" s="5">
        <v>7.0</v>
      </c>
      <c r="D55" s="7">
        <v>35.0</v>
      </c>
      <c r="E55" s="5">
        <v>10.0</v>
      </c>
      <c r="F55" s="7">
        <v>8.0</v>
      </c>
      <c r="G55" s="25">
        <f t="shared" ref="G55:G56" si="7">IF(AND(D55&lt;&gt;"",E55&lt;&gt;""),D55*E55,0)</f>
        <v>350</v>
      </c>
      <c r="H55" s="22">
        <f t="shared" ref="H55:H56" si="8">IF(AND(D55&lt;&gt;"",E55&lt;&gt;""),ROUND(D55*(1+E55/30),1),"")</f>
        <v>46.7</v>
      </c>
      <c r="I55" s="5"/>
      <c r="J55" s="5"/>
      <c r="K55" s="5"/>
      <c r="L55" s="5"/>
    </row>
    <row r="56" ht="15.75" customHeight="1">
      <c r="A56" s="25" t="s">
        <v>107</v>
      </c>
      <c r="B56" s="5" t="s">
        <v>101</v>
      </c>
      <c r="C56" s="5">
        <v>7.0</v>
      </c>
      <c r="D56" s="7">
        <v>35.0</v>
      </c>
      <c r="E56" s="5">
        <v>10.0</v>
      </c>
      <c r="F56" s="7">
        <v>9.0</v>
      </c>
      <c r="G56" s="25">
        <f t="shared" si="7"/>
        <v>350</v>
      </c>
      <c r="H56" s="22">
        <f t="shared" si="8"/>
        <v>46.7</v>
      </c>
      <c r="I56" s="5"/>
      <c r="J56" s="5"/>
      <c r="K56" s="5"/>
      <c r="L56" s="5"/>
    </row>
    <row r="57" ht="15.75" customHeight="1">
      <c r="A57" s="9" t="s">
        <v>108</v>
      </c>
      <c r="B57" s="10"/>
      <c r="C57" s="10"/>
      <c r="D57" s="10"/>
      <c r="E57" s="10"/>
      <c r="F57" s="10"/>
      <c r="G57" s="9">
        <f>G55+G56</f>
        <v>700</v>
      </c>
      <c r="H57" s="42">
        <f>MAX(H55,H56)</f>
        <v>46.7</v>
      </c>
      <c r="I57" s="10"/>
      <c r="J57" s="43">
        <v>1.0</v>
      </c>
      <c r="K57" s="43" t="s">
        <v>34</v>
      </c>
      <c r="L57" s="43">
        <v>2.0</v>
      </c>
    </row>
    <row r="58" ht="15.75" customHeight="1">
      <c r="A58" s="16" t="s">
        <v>109</v>
      </c>
      <c r="B58" s="10" t="s">
        <v>122</v>
      </c>
      <c r="C58" s="38"/>
      <c r="D58" s="38"/>
      <c r="E58" s="38"/>
      <c r="F58" s="38"/>
      <c r="G58" s="38"/>
      <c r="H58" s="38"/>
      <c r="I58" s="38"/>
      <c r="J58" s="38"/>
      <c r="K58" s="38"/>
      <c r="L58" s="40"/>
    </row>
    <row r="59" ht="15.75" customHeight="1">
      <c r="A59" s="16" t="s">
        <v>111</v>
      </c>
      <c r="B59" s="10" t="s">
        <v>123</v>
      </c>
      <c r="C59" s="38"/>
      <c r="D59" s="38"/>
      <c r="E59" s="38"/>
      <c r="F59" s="38"/>
      <c r="G59" s="38"/>
      <c r="H59" s="38"/>
      <c r="I59" s="38"/>
      <c r="J59" s="38"/>
      <c r="K59" s="38"/>
      <c r="L59" s="40"/>
    </row>
    <row r="60" ht="15.75" customHeight="1"/>
    <row r="61" ht="15.75" customHeight="1">
      <c r="A61" s="44" t="s">
        <v>124</v>
      </c>
      <c r="B61" s="36"/>
      <c r="C61" s="37"/>
      <c r="K61" s="47" t="s">
        <v>125</v>
      </c>
    </row>
    <row r="62" ht="15.75" customHeight="1">
      <c r="A62" s="4" t="s">
        <v>92</v>
      </c>
      <c r="B62" s="4" t="s">
        <v>93</v>
      </c>
      <c r="C62" s="4" t="s">
        <v>94</v>
      </c>
      <c r="D62" s="4" t="s">
        <v>41</v>
      </c>
      <c r="E62" s="4" t="s">
        <v>95</v>
      </c>
      <c r="F62" s="4" t="s">
        <v>96</v>
      </c>
      <c r="G62" s="4" t="s">
        <v>97</v>
      </c>
      <c r="H62" s="4" t="s">
        <v>55</v>
      </c>
      <c r="I62" s="4" t="s">
        <v>47</v>
      </c>
      <c r="J62" s="4" t="s">
        <v>98</v>
      </c>
      <c r="K62" s="48"/>
      <c r="L62" s="4" t="s">
        <v>99</v>
      </c>
    </row>
    <row r="63" ht="15.75" customHeight="1">
      <c r="A63" s="26" t="s">
        <v>100</v>
      </c>
      <c r="B63" s="5" t="s">
        <v>101</v>
      </c>
      <c r="C63" s="5"/>
      <c r="D63" s="7">
        <v>2.0</v>
      </c>
      <c r="E63" s="7">
        <v>10.0</v>
      </c>
      <c r="F63" s="5"/>
      <c r="G63" s="5"/>
      <c r="H63" s="5"/>
      <c r="I63" s="5"/>
      <c r="J63" s="5"/>
      <c r="K63" s="5"/>
      <c r="L63" s="5"/>
    </row>
    <row r="64" ht="15.75" customHeight="1">
      <c r="A64" s="45" t="s">
        <v>102</v>
      </c>
      <c r="B64" s="46">
        <v>45783.0</v>
      </c>
      <c r="C64" s="5"/>
      <c r="D64" s="7">
        <v>4.0</v>
      </c>
      <c r="E64" s="7">
        <v>6.0</v>
      </c>
      <c r="F64" s="5"/>
      <c r="G64" s="5"/>
      <c r="H64" s="5"/>
      <c r="I64" s="5"/>
      <c r="J64" s="5"/>
      <c r="K64" s="5"/>
      <c r="L64" s="5"/>
    </row>
    <row r="65" ht="15.75" customHeight="1">
      <c r="A65" s="25" t="s">
        <v>106</v>
      </c>
      <c r="B65" s="5" t="s">
        <v>114</v>
      </c>
      <c r="C65" s="5">
        <v>7.0</v>
      </c>
      <c r="D65" s="7">
        <v>5.0</v>
      </c>
      <c r="E65" s="7">
        <v>10.0</v>
      </c>
      <c r="F65" s="7">
        <v>8.0</v>
      </c>
      <c r="G65" s="25">
        <f t="shared" ref="G65:G66" si="9">IF(AND(D65&lt;&gt;"",E65&lt;&gt;""),D65*E65,0)</f>
        <v>50</v>
      </c>
      <c r="H65" s="22">
        <f t="shared" ref="H65:H66" si="10">IF(AND(D65&lt;&gt;"",E65&lt;&gt;""),ROUND(D65*(1+E65/30),1),"")</f>
        <v>6.7</v>
      </c>
      <c r="I65" s="5"/>
      <c r="J65" s="5"/>
      <c r="K65" s="5"/>
      <c r="L65" s="5"/>
    </row>
    <row r="66" ht="15.75" customHeight="1">
      <c r="A66" s="25" t="s">
        <v>107</v>
      </c>
      <c r="B66" s="5" t="s">
        <v>114</v>
      </c>
      <c r="C66" s="5">
        <v>7.0</v>
      </c>
      <c r="D66" s="7">
        <v>5.0</v>
      </c>
      <c r="E66" s="5">
        <v>10.0</v>
      </c>
      <c r="F66" s="7">
        <v>9.0</v>
      </c>
      <c r="G66" s="25">
        <f t="shared" si="9"/>
        <v>50</v>
      </c>
      <c r="H66" s="22">
        <f t="shared" si="10"/>
        <v>6.7</v>
      </c>
      <c r="I66" s="5"/>
      <c r="J66" s="5"/>
      <c r="K66" s="5"/>
      <c r="L66" s="5"/>
    </row>
    <row r="67" ht="15.75" customHeight="1">
      <c r="A67" s="9" t="s">
        <v>108</v>
      </c>
      <c r="B67" s="10"/>
      <c r="C67" s="10"/>
      <c r="D67" s="10"/>
      <c r="E67" s="10"/>
      <c r="F67" s="10"/>
      <c r="G67" s="9">
        <f>G65+G66</f>
        <v>100</v>
      </c>
      <c r="H67" s="42">
        <f>MAX(H65,H66)</f>
        <v>6.7</v>
      </c>
      <c r="I67" s="10"/>
      <c r="J67" s="43">
        <v>1.0</v>
      </c>
      <c r="K67" s="43" t="s">
        <v>31</v>
      </c>
      <c r="L67" s="43">
        <v>2.0</v>
      </c>
    </row>
    <row r="68" ht="15.75" customHeight="1">
      <c r="A68" s="16" t="s">
        <v>109</v>
      </c>
      <c r="B68" s="10" t="s">
        <v>126</v>
      </c>
      <c r="C68" s="38"/>
      <c r="D68" s="38"/>
      <c r="E68" s="38"/>
      <c r="F68" s="38"/>
      <c r="G68" s="38"/>
      <c r="H68" s="38"/>
      <c r="I68" s="38"/>
      <c r="J68" s="38"/>
      <c r="K68" s="38"/>
      <c r="L68" s="40"/>
    </row>
    <row r="69" ht="15.75" customHeight="1">
      <c r="A69" s="16" t="s">
        <v>111</v>
      </c>
      <c r="B69" s="10" t="s">
        <v>127</v>
      </c>
      <c r="C69" s="38"/>
      <c r="D69" s="38"/>
      <c r="E69" s="38"/>
      <c r="F69" s="38"/>
      <c r="G69" s="38"/>
      <c r="H69" s="38"/>
      <c r="I69" s="38"/>
      <c r="J69" s="38"/>
      <c r="K69" s="38"/>
      <c r="L69" s="40"/>
    </row>
    <row r="70" ht="15.75" customHeight="1"/>
    <row r="71" ht="15.75" customHeight="1">
      <c r="A71" s="44" t="s">
        <v>85</v>
      </c>
      <c r="B71" s="49"/>
      <c r="C71" s="50"/>
      <c r="D71" s="38"/>
      <c r="E71" s="38"/>
      <c r="F71" s="38"/>
      <c r="G71" s="38"/>
      <c r="H71" s="38"/>
      <c r="I71" s="38"/>
      <c r="J71" s="38"/>
      <c r="K71" s="38" t="s">
        <v>128</v>
      </c>
      <c r="L71" s="40"/>
    </row>
    <row r="72" ht="15.75" customHeight="1">
      <c r="A72" s="4" t="s">
        <v>92</v>
      </c>
      <c r="B72" s="4" t="s">
        <v>93</v>
      </c>
      <c r="C72" s="4" t="s">
        <v>94</v>
      </c>
      <c r="D72" s="4" t="s">
        <v>41</v>
      </c>
      <c r="E72" s="4" t="s">
        <v>95</v>
      </c>
      <c r="F72" s="4" t="s">
        <v>96</v>
      </c>
      <c r="G72" s="4" t="s">
        <v>97</v>
      </c>
      <c r="H72" s="4" t="s">
        <v>55</v>
      </c>
      <c r="I72" s="4" t="s">
        <v>47</v>
      </c>
      <c r="J72" s="4" t="s">
        <v>98</v>
      </c>
      <c r="K72" s="48"/>
      <c r="L72" s="4" t="s">
        <v>99</v>
      </c>
    </row>
    <row r="73" ht="15.75" customHeight="1">
      <c r="A73" s="26" t="s">
        <v>100</v>
      </c>
      <c r="B73" s="5" t="s">
        <v>101</v>
      </c>
      <c r="C73" s="5"/>
      <c r="D73" s="7">
        <v>11.0</v>
      </c>
      <c r="E73" s="7">
        <v>10.0</v>
      </c>
      <c r="F73" s="5"/>
      <c r="G73" s="5"/>
      <c r="H73" s="5"/>
      <c r="I73" s="5"/>
      <c r="J73" s="5"/>
      <c r="K73" s="5"/>
      <c r="L73" s="5"/>
    </row>
    <row r="74" ht="15.75" customHeight="1">
      <c r="A74" s="25" t="s">
        <v>106</v>
      </c>
      <c r="B74" s="5" t="s">
        <v>114</v>
      </c>
      <c r="C74" s="5">
        <v>7.0</v>
      </c>
      <c r="D74" s="5">
        <v>25.0</v>
      </c>
      <c r="E74" s="5">
        <v>12.0</v>
      </c>
      <c r="F74" s="5"/>
      <c r="G74" s="25">
        <f t="shared" ref="G74:G75" si="11">IF(AND(D74&lt;&gt;"",E74&lt;&gt;""),D74*E74,0)</f>
        <v>300</v>
      </c>
      <c r="H74" s="22">
        <f t="shared" ref="H74:H75" si="12">IF(AND(D74&lt;&gt;"",E74&lt;&gt;""),ROUND(D74*(1+E74/30),1),"")</f>
        <v>35</v>
      </c>
      <c r="I74" s="5"/>
      <c r="J74" s="5"/>
      <c r="K74" s="5"/>
      <c r="L74" s="5"/>
    </row>
    <row r="75" ht="15.75" customHeight="1">
      <c r="A75" s="25" t="s">
        <v>107</v>
      </c>
      <c r="B75" s="5" t="s">
        <v>114</v>
      </c>
      <c r="C75" s="5">
        <v>7.0</v>
      </c>
      <c r="D75" s="5">
        <v>25.0</v>
      </c>
      <c r="E75" s="5">
        <v>12.0</v>
      </c>
      <c r="F75" s="5"/>
      <c r="G75" s="25">
        <f t="shared" si="11"/>
        <v>300</v>
      </c>
      <c r="H75" s="22">
        <f t="shared" si="12"/>
        <v>35</v>
      </c>
      <c r="I75" s="5"/>
      <c r="J75" s="5"/>
      <c r="K75" s="5"/>
      <c r="L75" s="5"/>
    </row>
    <row r="76" ht="15.75" customHeight="1">
      <c r="A76" s="9" t="s">
        <v>108</v>
      </c>
      <c r="B76" s="10"/>
      <c r="C76" s="10"/>
      <c r="D76" s="10"/>
      <c r="E76" s="10"/>
      <c r="F76" s="10"/>
      <c r="G76" s="9">
        <f>G74+G75</f>
        <v>600</v>
      </c>
      <c r="H76" s="42">
        <f>MAX(H74,H75)</f>
        <v>35</v>
      </c>
      <c r="I76" s="10"/>
      <c r="J76" s="43">
        <v>1.0</v>
      </c>
      <c r="K76" s="43" t="s">
        <v>36</v>
      </c>
      <c r="L76" s="43">
        <v>2.0</v>
      </c>
    </row>
    <row r="77" ht="15.75" customHeight="1">
      <c r="A77" s="16" t="s">
        <v>109</v>
      </c>
      <c r="B77" s="10" t="s">
        <v>129</v>
      </c>
      <c r="C77" s="38"/>
      <c r="D77" s="38"/>
      <c r="E77" s="38"/>
      <c r="F77" s="38"/>
      <c r="G77" s="38"/>
      <c r="H77" s="38"/>
      <c r="I77" s="38"/>
      <c r="J77" s="38"/>
      <c r="K77" s="38"/>
      <c r="L77" s="40"/>
    </row>
    <row r="78" ht="15.75" customHeight="1">
      <c r="A78" s="16" t="s">
        <v>111</v>
      </c>
      <c r="B78" s="10" t="s">
        <v>130</v>
      </c>
      <c r="C78" s="38"/>
      <c r="D78" s="38"/>
      <c r="E78" s="38"/>
      <c r="F78" s="38"/>
      <c r="G78" s="38"/>
      <c r="H78" s="38"/>
      <c r="I78" s="38"/>
      <c r="J78" s="38"/>
      <c r="K78" s="38"/>
      <c r="L78" s="40"/>
    </row>
    <row r="79" ht="15.75" customHeight="1"/>
    <row r="80" ht="15.75" customHeight="1">
      <c r="A80" s="35" t="s">
        <v>131</v>
      </c>
      <c r="B80" s="36"/>
      <c r="C80" s="37"/>
      <c r="D80" s="38"/>
      <c r="E80" s="38"/>
      <c r="F80" s="38"/>
      <c r="G80" s="38"/>
      <c r="H80" s="38"/>
      <c r="I80" s="38"/>
      <c r="J80" s="38"/>
      <c r="K80" s="51" t="s">
        <v>132</v>
      </c>
      <c r="L80" s="40"/>
    </row>
    <row r="81" ht="15.75" customHeight="1">
      <c r="A81" s="4" t="s">
        <v>92</v>
      </c>
      <c r="B81" s="4" t="s">
        <v>93</v>
      </c>
      <c r="C81" s="4" t="s">
        <v>94</v>
      </c>
      <c r="D81" s="4" t="s">
        <v>41</v>
      </c>
      <c r="E81" s="4" t="s">
        <v>95</v>
      </c>
      <c r="F81" s="4" t="s">
        <v>96</v>
      </c>
      <c r="G81" s="4" t="s">
        <v>97</v>
      </c>
      <c r="H81" s="4" t="s">
        <v>55</v>
      </c>
      <c r="I81" s="4" t="s">
        <v>47</v>
      </c>
      <c r="J81" s="4" t="s">
        <v>98</v>
      </c>
      <c r="K81" s="48"/>
      <c r="L81" s="4" t="s">
        <v>99</v>
      </c>
    </row>
    <row r="82" ht="15.75" customHeight="1">
      <c r="A82" s="26" t="s">
        <v>100</v>
      </c>
      <c r="B82" s="5" t="s">
        <v>101</v>
      </c>
      <c r="C82" s="5"/>
      <c r="D82" s="7">
        <v>5.0</v>
      </c>
      <c r="E82" s="7">
        <v>10.0</v>
      </c>
      <c r="F82" s="5"/>
      <c r="G82" s="25"/>
      <c r="H82" s="22"/>
      <c r="I82" s="5"/>
      <c r="J82" s="5"/>
      <c r="K82" s="52"/>
      <c r="L82" s="5"/>
    </row>
    <row r="83" ht="15.75" customHeight="1">
      <c r="A83" s="25" t="s">
        <v>106</v>
      </c>
      <c r="B83" s="7">
        <v>12.0</v>
      </c>
      <c r="C83" s="7">
        <v>8.0</v>
      </c>
      <c r="D83" s="7">
        <v>11.0</v>
      </c>
      <c r="E83" s="7">
        <v>12.0</v>
      </c>
      <c r="F83" s="7">
        <v>8.0</v>
      </c>
      <c r="G83" s="25">
        <f t="shared" ref="G83:G84" si="13">IF(AND(D83&lt;&gt;"",E83&lt;&gt;""),D83*E83,0)</f>
        <v>132</v>
      </c>
      <c r="H83" s="22">
        <f t="shared" ref="H83:H84" si="14">IF(AND(D83&lt;&gt;"",E83&lt;&gt;""),ROUND(D83*(1+E83/30),1),"")</f>
        <v>15.4</v>
      </c>
      <c r="I83" s="5"/>
      <c r="J83" s="5"/>
      <c r="K83" s="52"/>
      <c r="L83" s="5"/>
    </row>
    <row r="84" ht="15.75" customHeight="1">
      <c r="A84" s="25" t="s">
        <v>107</v>
      </c>
      <c r="B84" s="7">
        <v>12.0</v>
      </c>
      <c r="C84" s="7">
        <v>8.0</v>
      </c>
      <c r="D84" s="7">
        <v>11.0</v>
      </c>
      <c r="E84" s="7">
        <v>12.0</v>
      </c>
      <c r="F84" s="7">
        <v>9.0</v>
      </c>
      <c r="G84" s="25">
        <f t="shared" si="13"/>
        <v>132</v>
      </c>
      <c r="H84" s="22">
        <f t="shared" si="14"/>
        <v>15.4</v>
      </c>
      <c r="I84" s="5"/>
      <c r="J84" s="5"/>
      <c r="L84" s="5"/>
    </row>
    <row r="85" ht="15.75" customHeight="1">
      <c r="A85" s="9" t="s">
        <v>108</v>
      </c>
      <c r="B85" s="10"/>
      <c r="C85" s="10"/>
      <c r="D85" s="10"/>
      <c r="E85" s="10"/>
      <c r="F85" s="10"/>
      <c r="G85" s="9">
        <f>G83+G84</f>
        <v>264</v>
      </c>
      <c r="H85" s="42">
        <f>MAX(H81,H84)</f>
        <v>15.4</v>
      </c>
      <c r="I85" s="10"/>
      <c r="J85" s="43">
        <v>1.0</v>
      </c>
      <c r="K85" s="43" t="s">
        <v>37</v>
      </c>
      <c r="L85" s="43">
        <v>2.0</v>
      </c>
    </row>
    <row r="86" ht="15.75" customHeight="1">
      <c r="A86" s="16" t="s">
        <v>109</v>
      </c>
      <c r="B86" s="10"/>
      <c r="C86" s="38"/>
      <c r="D86" s="38"/>
      <c r="E86" s="38"/>
      <c r="F86" s="38"/>
      <c r="G86" s="38"/>
      <c r="H86" s="38"/>
      <c r="I86" s="38"/>
      <c r="J86" s="38"/>
      <c r="K86" s="38"/>
      <c r="L86" s="40"/>
    </row>
    <row r="87" ht="15.75" customHeight="1">
      <c r="A87" s="16" t="s">
        <v>111</v>
      </c>
      <c r="B87" s="10"/>
      <c r="C87" s="38"/>
      <c r="D87" s="38"/>
      <c r="E87" s="38"/>
      <c r="F87" s="38"/>
      <c r="G87" s="38"/>
      <c r="H87" s="38"/>
      <c r="I87" s="38"/>
      <c r="J87" s="38"/>
      <c r="K87" s="38"/>
      <c r="L87" s="40"/>
    </row>
    <row r="88" ht="15.75" customHeight="1"/>
    <row r="89" ht="15.75" customHeight="1">
      <c r="A89" s="53"/>
      <c r="B89" s="53"/>
      <c r="C89" s="53"/>
      <c r="D89" s="54"/>
      <c r="E89" s="54"/>
      <c r="F89" s="54"/>
      <c r="G89" s="54"/>
      <c r="H89" s="54"/>
      <c r="I89" s="54"/>
      <c r="J89" s="54"/>
      <c r="K89" s="54"/>
      <c r="L89" s="54"/>
    </row>
    <row r="90" ht="15.75" customHeight="1">
      <c r="A90" s="55" t="s">
        <v>133</v>
      </c>
      <c r="B90" s="36"/>
      <c r="C90" s="37"/>
      <c r="D90" s="38"/>
      <c r="E90" s="38"/>
      <c r="F90" s="38"/>
      <c r="G90" s="38"/>
      <c r="H90" s="38"/>
      <c r="I90" s="38"/>
      <c r="J90" s="38"/>
      <c r="K90" s="38"/>
      <c r="L90" s="40"/>
    </row>
    <row r="91" ht="15.75" customHeight="1">
      <c r="A91" s="16" t="s">
        <v>134</v>
      </c>
      <c r="B91" s="10"/>
      <c r="C91" s="10"/>
      <c r="D91" s="10"/>
      <c r="E91" s="10"/>
      <c r="F91" s="10"/>
      <c r="G91" s="9">
        <f>SUMIF(J:J,1,G:G)</f>
        <v>2564</v>
      </c>
      <c r="H91" s="10"/>
      <c r="I91" s="16" t="s">
        <v>135</v>
      </c>
      <c r="J91" s="10"/>
      <c r="K91" s="10"/>
      <c r="L91" s="56">
        <f>SUMIF(J:J,1,L:L)</f>
        <v>14</v>
      </c>
    </row>
    <row r="92" ht="15.75" customHeight="1"/>
    <row r="93" ht="15.75" customHeight="1"/>
    <row r="94" ht="15.75" customHeight="1"/>
    <row r="95" ht="15.75" customHeight="1"/>
    <row r="96" ht="21.75" customHeight="1">
      <c r="A96" s="34" t="s">
        <v>136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15.75" customHeight="1"/>
    <row r="98" ht="15.75" customHeight="1">
      <c r="A98" s="35" t="s">
        <v>137</v>
      </c>
      <c r="B98" s="36"/>
      <c r="C98" s="37"/>
      <c r="D98" s="38"/>
      <c r="E98" s="38"/>
      <c r="F98" s="38"/>
      <c r="G98" s="38"/>
      <c r="H98" s="38"/>
      <c r="I98" s="38"/>
      <c r="J98" s="38"/>
      <c r="K98" s="39" t="s">
        <v>91</v>
      </c>
      <c r="L98" s="40"/>
    </row>
    <row r="99" ht="15.75" customHeight="1">
      <c r="A99" s="4" t="s">
        <v>92</v>
      </c>
      <c r="B99" s="4" t="s">
        <v>93</v>
      </c>
      <c r="C99" s="4" t="s">
        <v>94</v>
      </c>
      <c r="D99" s="4" t="s">
        <v>41</v>
      </c>
      <c r="E99" s="4" t="s">
        <v>95</v>
      </c>
      <c r="F99" s="4" t="s">
        <v>96</v>
      </c>
      <c r="G99" s="4" t="s">
        <v>97</v>
      </c>
      <c r="H99" s="4" t="s">
        <v>55</v>
      </c>
      <c r="I99" s="4" t="s">
        <v>47</v>
      </c>
      <c r="J99" s="4" t="s">
        <v>98</v>
      </c>
      <c r="K99" s="4" t="s">
        <v>28</v>
      </c>
      <c r="L99" s="4" t="s">
        <v>99</v>
      </c>
    </row>
    <row r="100" ht="15.75" customHeight="1">
      <c r="A100" s="26" t="s">
        <v>100</v>
      </c>
      <c r="B100" s="5" t="s">
        <v>101</v>
      </c>
      <c r="C100" s="5"/>
      <c r="D100" s="7">
        <v>7.5</v>
      </c>
      <c r="E100" s="7">
        <v>10.0</v>
      </c>
      <c r="F100" s="5"/>
      <c r="G100" s="5"/>
      <c r="H100" s="5"/>
      <c r="I100" s="5"/>
      <c r="J100" s="5"/>
      <c r="K100" s="5"/>
      <c r="L100" s="5"/>
    </row>
    <row r="101" ht="15.75" customHeight="1">
      <c r="A101" s="26" t="s">
        <v>102</v>
      </c>
      <c r="B101" s="5" t="s">
        <v>103</v>
      </c>
      <c r="C101" s="5"/>
      <c r="D101" s="7">
        <v>10.0</v>
      </c>
      <c r="E101" s="7">
        <v>6.0</v>
      </c>
      <c r="F101" s="5"/>
      <c r="G101" s="5"/>
      <c r="H101" s="5"/>
      <c r="I101" s="5"/>
      <c r="J101" s="5"/>
      <c r="K101" s="5"/>
      <c r="L101" s="5"/>
    </row>
    <row r="102" ht="15.75" customHeight="1">
      <c r="A102" s="26" t="s">
        <v>104</v>
      </c>
      <c r="B102" s="5" t="s">
        <v>105</v>
      </c>
      <c r="C102" s="5"/>
      <c r="D102" s="7">
        <v>12.5</v>
      </c>
      <c r="E102" s="7">
        <v>0.0</v>
      </c>
      <c r="F102" s="5"/>
      <c r="G102" s="5"/>
      <c r="H102" s="5"/>
      <c r="I102" s="5"/>
      <c r="J102" s="5"/>
      <c r="K102" s="5"/>
      <c r="L102" s="5"/>
    </row>
    <row r="103" ht="15.75" customHeight="1">
      <c r="A103" s="25" t="s">
        <v>106</v>
      </c>
      <c r="B103" s="5" t="s">
        <v>101</v>
      </c>
      <c r="C103" s="7">
        <v>7.0</v>
      </c>
      <c r="D103" s="7">
        <v>12.5</v>
      </c>
      <c r="E103" s="7">
        <v>10.0</v>
      </c>
      <c r="F103" s="7">
        <v>7.0</v>
      </c>
      <c r="G103" s="25">
        <f t="shared" ref="G103:G104" si="15">IF(AND(D103&lt;&gt;"",E103&lt;&gt;""),D103*E103,0)</f>
        <v>125</v>
      </c>
      <c r="H103" s="22">
        <f t="shared" ref="H103:H104" si="16">IF(AND(D103&lt;&gt;"",E103&lt;&gt;""),ROUND(D103*(1+E103/30),1),"")</f>
        <v>16.7</v>
      </c>
      <c r="I103" s="5"/>
      <c r="J103" s="5"/>
      <c r="K103" s="5"/>
      <c r="L103" s="5"/>
    </row>
    <row r="104" ht="15.75" customHeight="1">
      <c r="A104" s="25" t="s">
        <v>107</v>
      </c>
      <c r="B104" s="5" t="s">
        <v>101</v>
      </c>
      <c r="C104" s="7">
        <v>7.0</v>
      </c>
      <c r="D104" s="7">
        <v>12.5</v>
      </c>
      <c r="E104" s="7">
        <v>10.0</v>
      </c>
      <c r="F104" s="7">
        <v>7.0</v>
      </c>
      <c r="G104" s="25">
        <f t="shared" si="15"/>
        <v>125</v>
      </c>
      <c r="H104" s="22">
        <f t="shared" si="16"/>
        <v>16.7</v>
      </c>
      <c r="I104" s="5"/>
      <c r="J104" s="5"/>
      <c r="K104" s="5"/>
      <c r="L104" s="5"/>
    </row>
    <row r="105" ht="15.75" customHeight="1">
      <c r="A105" s="9" t="s">
        <v>108</v>
      </c>
      <c r="B105" s="10"/>
      <c r="C105" s="10"/>
      <c r="D105" s="10"/>
      <c r="E105" s="10"/>
      <c r="F105" s="10"/>
      <c r="G105" s="9">
        <f>G103+G104</f>
        <v>250</v>
      </c>
      <c r="H105" s="42">
        <f>MAX(H103,H104)</f>
        <v>16.7</v>
      </c>
      <c r="I105" s="10"/>
      <c r="J105" s="57">
        <v>2.0</v>
      </c>
      <c r="K105" s="43" t="s">
        <v>31</v>
      </c>
      <c r="L105" s="43">
        <v>2.0</v>
      </c>
    </row>
    <row r="106" ht="15.75" customHeight="1">
      <c r="A106" s="16" t="s">
        <v>109</v>
      </c>
      <c r="B106" s="10" t="s">
        <v>110</v>
      </c>
      <c r="C106" s="38"/>
      <c r="D106" s="38"/>
      <c r="E106" s="38"/>
      <c r="F106" s="38"/>
      <c r="G106" s="38"/>
      <c r="H106" s="38"/>
      <c r="I106" s="38"/>
      <c r="J106" s="38"/>
      <c r="K106" s="38"/>
      <c r="L106" s="40"/>
    </row>
    <row r="107" ht="15.75" customHeight="1">
      <c r="A107" s="16" t="s">
        <v>111</v>
      </c>
      <c r="B107" s="10" t="s">
        <v>112</v>
      </c>
      <c r="C107" s="38"/>
      <c r="D107" s="38"/>
      <c r="E107" s="38"/>
      <c r="F107" s="38"/>
      <c r="G107" s="38"/>
      <c r="H107" s="38"/>
      <c r="I107" s="38"/>
      <c r="J107" s="38"/>
      <c r="K107" s="38"/>
      <c r="L107" s="40"/>
    </row>
    <row r="108" ht="15.75" customHeight="1"/>
    <row r="109" ht="15.75" customHeight="1">
      <c r="A109" s="44" t="s">
        <v>60</v>
      </c>
      <c r="B109" s="36"/>
      <c r="C109" s="37"/>
      <c r="D109" s="38"/>
      <c r="E109" s="38"/>
      <c r="F109" s="38"/>
      <c r="G109" s="38"/>
      <c r="H109" s="38"/>
      <c r="I109" s="38"/>
      <c r="J109" s="38"/>
      <c r="K109" s="39" t="s">
        <v>113</v>
      </c>
      <c r="L109" s="40"/>
    </row>
    <row r="110" ht="15.75" customHeight="1">
      <c r="A110" s="4" t="s">
        <v>92</v>
      </c>
      <c r="B110" s="4" t="s">
        <v>93</v>
      </c>
      <c r="C110" s="4" t="s">
        <v>94</v>
      </c>
      <c r="D110" s="4" t="s">
        <v>41</v>
      </c>
      <c r="E110" s="4" t="s">
        <v>95</v>
      </c>
      <c r="F110" s="4" t="s">
        <v>96</v>
      </c>
      <c r="G110" s="4" t="s">
        <v>97</v>
      </c>
      <c r="H110" s="4" t="s">
        <v>55</v>
      </c>
      <c r="I110" s="4" t="s">
        <v>47</v>
      </c>
      <c r="J110" s="4" t="s">
        <v>98</v>
      </c>
      <c r="K110" s="4" t="s">
        <v>28</v>
      </c>
      <c r="L110" s="4" t="s">
        <v>99</v>
      </c>
    </row>
    <row r="111" ht="15.75" customHeight="1">
      <c r="A111" s="26" t="s">
        <v>100</v>
      </c>
      <c r="B111" s="5" t="s">
        <v>114</v>
      </c>
      <c r="C111" s="5"/>
      <c r="D111" s="7">
        <v>16.0</v>
      </c>
      <c r="E111" s="7">
        <v>10.0</v>
      </c>
      <c r="F111" s="5"/>
      <c r="G111" s="5"/>
      <c r="H111" s="5"/>
      <c r="I111" s="5"/>
      <c r="J111" s="5"/>
      <c r="K111" s="5"/>
      <c r="L111" s="5"/>
    </row>
    <row r="112" ht="15.75" customHeight="1">
      <c r="A112" s="26" t="s">
        <v>102</v>
      </c>
      <c r="B112" s="5" t="s">
        <v>115</v>
      </c>
      <c r="C112" s="5"/>
      <c r="D112" s="7">
        <v>20.0</v>
      </c>
      <c r="E112" s="7">
        <v>6.0</v>
      </c>
      <c r="F112" s="5"/>
      <c r="G112" s="5"/>
      <c r="H112" s="5"/>
      <c r="I112" s="5"/>
      <c r="J112" s="5"/>
      <c r="K112" s="5"/>
      <c r="L112" s="5"/>
    </row>
    <row r="113" ht="15.75" customHeight="1">
      <c r="A113" s="25" t="s">
        <v>106</v>
      </c>
      <c r="B113" s="5" t="s">
        <v>101</v>
      </c>
      <c r="C113" s="5">
        <v>7.0</v>
      </c>
      <c r="D113" s="5">
        <v>25.0</v>
      </c>
      <c r="E113" s="7">
        <v>10.0</v>
      </c>
      <c r="F113" s="7">
        <v>7.0</v>
      </c>
      <c r="G113" s="25">
        <f t="shared" ref="G113:G114" si="17">IF(AND(D113&lt;&gt;"",E113&lt;&gt;""),D113*E113,0)</f>
        <v>250</v>
      </c>
      <c r="H113" s="22">
        <f t="shared" ref="H113:H114" si="18">IF(AND(D113&lt;&gt;"",E113&lt;&gt;""),ROUND(D113*(1+E113/30),1),"")</f>
        <v>33.3</v>
      </c>
      <c r="I113" s="5"/>
      <c r="J113" s="5"/>
      <c r="K113" s="5"/>
      <c r="L113" s="5"/>
    </row>
    <row r="114" ht="15.75" customHeight="1">
      <c r="A114" s="25" t="s">
        <v>107</v>
      </c>
      <c r="B114" s="5" t="s">
        <v>101</v>
      </c>
      <c r="C114" s="5">
        <v>7.0</v>
      </c>
      <c r="D114" s="5">
        <v>30.0</v>
      </c>
      <c r="E114" s="7">
        <v>10.0</v>
      </c>
      <c r="F114" s="7">
        <v>8.0</v>
      </c>
      <c r="G114" s="25">
        <f t="shared" si="17"/>
        <v>300</v>
      </c>
      <c r="H114" s="22">
        <f t="shared" si="18"/>
        <v>40</v>
      </c>
      <c r="I114" s="5"/>
      <c r="J114" s="5"/>
      <c r="K114" s="5"/>
      <c r="L114" s="5"/>
    </row>
    <row r="115" ht="15.75" customHeight="1">
      <c r="A115" s="9" t="s">
        <v>108</v>
      </c>
      <c r="B115" s="10"/>
      <c r="C115" s="10"/>
      <c r="D115" s="10"/>
      <c r="E115" s="10"/>
      <c r="F115" s="10"/>
      <c r="G115" s="9">
        <f>G113+G114</f>
        <v>550</v>
      </c>
      <c r="H115" s="42">
        <f>MAX(H113,H114)</f>
        <v>40</v>
      </c>
      <c r="I115" s="10"/>
      <c r="J115" s="57">
        <v>2.0</v>
      </c>
      <c r="K115" s="43" t="s">
        <v>34</v>
      </c>
      <c r="L115" s="43">
        <v>2.0</v>
      </c>
    </row>
    <row r="116" ht="15.75" customHeight="1">
      <c r="A116" s="16" t="s">
        <v>109</v>
      </c>
      <c r="B116" s="10" t="s">
        <v>116</v>
      </c>
      <c r="C116" s="38"/>
      <c r="D116" s="38"/>
      <c r="E116" s="38"/>
      <c r="F116" s="38"/>
      <c r="G116" s="38"/>
      <c r="H116" s="38"/>
      <c r="I116" s="38"/>
      <c r="J116" s="38"/>
      <c r="K116" s="38"/>
      <c r="L116" s="40"/>
    </row>
    <row r="117" ht="15.75" customHeight="1">
      <c r="A117" s="16" t="s">
        <v>111</v>
      </c>
      <c r="B117" s="10" t="s">
        <v>117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40"/>
    </row>
    <row r="118" ht="15.75" customHeight="1"/>
    <row r="119" ht="15.75" customHeight="1">
      <c r="A119" s="44" t="s">
        <v>79</v>
      </c>
      <c r="B119" s="36"/>
      <c r="C119" s="37"/>
      <c r="D119" s="38"/>
      <c r="E119" s="38"/>
      <c r="F119" s="38"/>
      <c r="G119" s="38"/>
      <c r="H119" s="38"/>
      <c r="I119" s="38"/>
      <c r="J119" s="38"/>
      <c r="K119" s="39" t="s">
        <v>118</v>
      </c>
      <c r="L119" s="40"/>
    </row>
    <row r="120" ht="15.75" customHeight="1">
      <c r="A120" s="4" t="s">
        <v>92</v>
      </c>
      <c r="B120" s="4" t="s">
        <v>93</v>
      </c>
      <c r="C120" s="4" t="s">
        <v>94</v>
      </c>
      <c r="D120" s="4" t="s">
        <v>41</v>
      </c>
      <c r="E120" s="4" t="s">
        <v>95</v>
      </c>
      <c r="F120" s="4" t="s">
        <v>96</v>
      </c>
      <c r="G120" s="4" t="s">
        <v>97</v>
      </c>
      <c r="H120" s="4" t="s">
        <v>55</v>
      </c>
      <c r="I120" s="4" t="s">
        <v>47</v>
      </c>
      <c r="J120" s="4" t="s">
        <v>98</v>
      </c>
      <c r="K120" s="4" t="s">
        <v>28</v>
      </c>
      <c r="L120" s="4" t="s">
        <v>99</v>
      </c>
    </row>
    <row r="121" ht="15.75" customHeight="1">
      <c r="A121" s="26" t="s">
        <v>100</v>
      </c>
      <c r="B121" s="5" t="s">
        <v>101</v>
      </c>
      <c r="C121" s="5"/>
      <c r="D121" s="7">
        <v>3.0</v>
      </c>
      <c r="E121" s="7">
        <v>10.0</v>
      </c>
      <c r="F121" s="5"/>
      <c r="G121" s="5"/>
      <c r="H121" s="5"/>
      <c r="I121" s="5"/>
      <c r="J121" s="5"/>
      <c r="K121" s="5"/>
      <c r="L121" s="5"/>
    </row>
    <row r="122" ht="15.75" customHeight="1">
      <c r="A122" s="45" t="s">
        <v>102</v>
      </c>
      <c r="B122" s="46">
        <v>45783.0</v>
      </c>
      <c r="C122" s="5"/>
      <c r="D122" s="7">
        <v>5.0</v>
      </c>
      <c r="E122" s="7">
        <v>6.0</v>
      </c>
      <c r="F122" s="5"/>
      <c r="G122" s="5"/>
      <c r="H122" s="5"/>
      <c r="I122" s="5"/>
      <c r="J122" s="5"/>
      <c r="K122" s="5"/>
      <c r="L122" s="5"/>
    </row>
    <row r="123" ht="15.75" customHeight="1">
      <c r="A123" s="45" t="s">
        <v>104</v>
      </c>
      <c r="B123" s="46">
        <v>45720.0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5.75" customHeight="1">
      <c r="A124" s="25" t="s">
        <v>106</v>
      </c>
      <c r="B124" s="5" t="s">
        <v>114</v>
      </c>
      <c r="C124" s="5">
        <v>7.0</v>
      </c>
      <c r="D124" s="5">
        <v>7.5</v>
      </c>
      <c r="E124" s="7">
        <v>10.0</v>
      </c>
      <c r="F124" s="7">
        <v>8.0</v>
      </c>
      <c r="G124" s="25">
        <f t="shared" ref="G124:G125" si="19">IF(AND(D124&lt;&gt;"",E124&lt;&gt;""),D124*E124,0)</f>
        <v>75</v>
      </c>
      <c r="H124" s="22">
        <f t="shared" ref="H124:H125" si="20">IF(AND(D124&lt;&gt;"",E124&lt;&gt;""),ROUND(D124*(1+E124/30),1),"")</f>
        <v>10</v>
      </c>
      <c r="I124" s="5"/>
      <c r="J124" s="5"/>
      <c r="K124" s="5"/>
      <c r="L124" s="5"/>
    </row>
    <row r="125" ht="15.75" customHeight="1">
      <c r="A125" s="25" t="s">
        <v>107</v>
      </c>
      <c r="B125" s="5" t="s">
        <v>114</v>
      </c>
      <c r="C125" s="5">
        <v>7.0</v>
      </c>
      <c r="D125" s="5">
        <v>7.5</v>
      </c>
      <c r="E125" s="7">
        <v>10.0</v>
      </c>
      <c r="F125" s="7">
        <v>8.0</v>
      </c>
      <c r="G125" s="25">
        <f t="shared" si="19"/>
        <v>75</v>
      </c>
      <c r="H125" s="22">
        <f t="shared" si="20"/>
        <v>10</v>
      </c>
      <c r="I125" s="5"/>
      <c r="J125" s="5"/>
      <c r="K125" s="5"/>
      <c r="L125" s="5"/>
    </row>
    <row r="126" ht="15.75" customHeight="1">
      <c r="A126" s="9" t="s">
        <v>108</v>
      </c>
      <c r="B126" s="10"/>
      <c r="C126" s="10"/>
      <c r="D126" s="10"/>
      <c r="E126" s="10"/>
      <c r="F126" s="10"/>
      <c r="G126" s="9">
        <f>G124+G125</f>
        <v>150</v>
      </c>
      <c r="H126" s="42">
        <f>MAX(H124,H125)</f>
        <v>10</v>
      </c>
      <c r="I126" s="10"/>
      <c r="J126" s="57">
        <v>2.0</v>
      </c>
      <c r="K126" s="43" t="s">
        <v>32</v>
      </c>
      <c r="L126" s="43">
        <v>2.0</v>
      </c>
    </row>
    <row r="127" ht="15.75" customHeight="1">
      <c r="A127" s="16" t="s">
        <v>109</v>
      </c>
      <c r="B127" s="10" t="s">
        <v>119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40"/>
    </row>
    <row r="128" ht="15.75" customHeight="1">
      <c r="A128" s="16" t="s">
        <v>111</v>
      </c>
      <c r="B128" s="10" t="s">
        <v>120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40"/>
    </row>
    <row r="129" ht="15.75" customHeight="1"/>
    <row r="130" ht="15.75" customHeight="1">
      <c r="A130" s="44" t="s">
        <v>81</v>
      </c>
      <c r="B130" s="36"/>
      <c r="C130" s="37"/>
      <c r="D130" s="38"/>
      <c r="E130" s="38"/>
      <c r="F130" s="38"/>
      <c r="G130" s="38"/>
      <c r="H130" s="38"/>
      <c r="I130" s="38"/>
      <c r="J130" s="38"/>
      <c r="K130" s="39" t="s">
        <v>121</v>
      </c>
      <c r="L130" s="40"/>
    </row>
    <row r="131" ht="15.75" customHeight="1">
      <c r="A131" s="4" t="s">
        <v>92</v>
      </c>
      <c r="B131" s="4" t="s">
        <v>93</v>
      </c>
      <c r="C131" s="4" t="s">
        <v>94</v>
      </c>
      <c r="D131" s="4" t="s">
        <v>41</v>
      </c>
      <c r="E131" s="4" t="s">
        <v>95</v>
      </c>
      <c r="F131" s="4" t="s">
        <v>96</v>
      </c>
      <c r="G131" s="4" t="s">
        <v>97</v>
      </c>
      <c r="H131" s="4" t="s">
        <v>55</v>
      </c>
      <c r="I131" s="4" t="s">
        <v>47</v>
      </c>
      <c r="J131" s="4" t="s">
        <v>98</v>
      </c>
      <c r="K131" s="4" t="s">
        <v>28</v>
      </c>
      <c r="L131" s="4" t="s">
        <v>99</v>
      </c>
    </row>
    <row r="132" ht="15.75" customHeight="1">
      <c r="A132" s="26" t="s">
        <v>100</v>
      </c>
      <c r="B132" s="5" t="s">
        <v>101</v>
      </c>
      <c r="C132" s="5"/>
      <c r="D132" s="7">
        <v>15.0</v>
      </c>
      <c r="E132" s="7">
        <v>10.0</v>
      </c>
      <c r="F132" s="5"/>
      <c r="G132" s="5"/>
      <c r="H132" s="5"/>
      <c r="I132" s="5"/>
      <c r="J132" s="5"/>
      <c r="K132" s="5"/>
      <c r="L132" s="5"/>
    </row>
    <row r="133" ht="15.75" customHeight="1">
      <c r="A133" s="45" t="s">
        <v>102</v>
      </c>
      <c r="B133" s="46">
        <v>45783.0</v>
      </c>
      <c r="C133" s="5"/>
      <c r="D133" s="7">
        <v>25.0</v>
      </c>
      <c r="E133" s="7">
        <v>6.0</v>
      </c>
      <c r="F133" s="5"/>
      <c r="G133" s="5"/>
      <c r="H133" s="5"/>
      <c r="I133" s="5"/>
      <c r="J133" s="5"/>
      <c r="K133" s="5"/>
      <c r="L133" s="5"/>
    </row>
    <row r="134" ht="15.75" customHeight="1">
      <c r="A134" s="45" t="s">
        <v>104</v>
      </c>
      <c r="B134" s="46">
        <v>45720.0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5.75" customHeight="1">
      <c r="A135" s="25" t="s">
        <v>106</v>
      </c>
      <c r="B135" s="5" t="s">
        <v>101</v>
      </c>
      <c r="C135" s="5">
        <v>7.0</v>
      </c>
      <c r="D135" s="7">
        <v>35.0</v>
      </c>
      <c r="E135" s="7">
        <v>10.0</v>
      </c>
      <c r="F135" s="7">
        <v>7.0</v>
      </c>
      <c r="G135" s="25">
        <f t="shared" ref="G135:G136" si="21">IF(AND(D135&lt;&gt;"",E135&lt;&gt;""),D135*E135,0)</f>
        <v>350</v>
      </c>
      <c r="H135" s="22">
        <f t="shared" ref="H135:H136" si="22">IF(AND(D135&lt;&gt;"",E135&lt;&gt;""),ROUND(D135*(1+E135/30),1),"")</f>
        <v>46.7</v>
      </c>
      <c r="I135" s="5"/>
      <c r="J135" s="5"/>
      <c r="K135" s="5"/>
      <c r="L135" s="5"/>
    </row>
    <row r="136" ht="15.75" customHeight="1">
      <c r="A136" s="25" t="s">
        <v>107</v>
      </c>
      <c r="B136" s="5" t="s">
        <v>101</v>
      </c>
      <c r="C136" s="5">
        <v>7.0</v>
      </c>
      <c r="D136" s="7">
        <v>35.0</v>
      </c>
      <c r="E136" s="7">
        <v>11.0</v>
      </c>
      <c r="F136" s="7">
        <v>8.0</v>
      </c>
      <c r="G136" s="25">
        <f t="shared" si="21"/>
        <v>385</v>
      </c>
      <c r="H136" s="22">
        <f t="shared" si="22"/>
        <v>47.8</v>
      </c>
      <c r="I136" s="5"/>
      <c r="J136" s="5"/>
      <c r="K136" s="5"/>
      <c r="L136" s="5"/>
    </row>
    <row r="137" ht="15.75" customHeight="1">
      <c r="A137" s="9" t="s">
        <v>108</v>
      </c>
      <c r="B137" s="10"/>
      <c r="C137" s="10"/>
      <c r="D137" s="10"/>
      <c r="E137" s="10"/>
      <c r="F137" s="10"/>
      <c r="G137" s="9">
        <f>G135+G136</f>
        <v>735</v>
      </c>
      <c r="H137" s="42">
        <f>MAX(H135,H136)</f>
        <v>47.8</v>
      </c>
      <c r="I137" s="10"/>
      <c r="J137" s="57">
        <v>2.0</v>
      </c>
      <c r="K137" s="43" t="s">
        <v>34</v>
      </c>
      <c r="L137" s="43">
        <v>2.0</v>
      </c>
    </row>
    <row r="138" ht="15.75" customHeight="1">
      <c r="A138" s="16" t="s">
        <v>109</v>
      </c>
      <c r="B138" s="10" t="s">
        <v>122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40"/>
    </row>
    <row r="139" ht="15.75" customHeight="1">
      <c r="A139" s="16" t="s">
        <v>111</v>
      </c>
      <c r="B139" s="10" t="s">
        <v>123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40"/>
    </row>
    <row r="140" ht="15.75" customHeight="1"/>
    <row r="141" ht="15.75" customHeight="1">
      <c r="A141" s="44" t="s">
        <v>124</v>
      </c>
      <c r="B141" s="36"/>
      <c r="C141" s="37"/>
      <c r="K141" s="47" t="s">
        <v>125</v>
      </c>
    </row>
    <row r="142" ht="15.75" customHeight="1">
      <c r="A142" s="4" t="s">
        <v>92</v>
      </c>
      <c r="B142" s="4" t="s">
        <v>93</v>
      </c>
      <c r="C142" s="4" t="s">
        <v>94</v>
      </c>
      <c r="D142" s="4" t="s">
        <v>41</v>
      </c>
      <c r="E142" s="4" t="s">
        <v>95</v>
      </c>
      <c r="F142" s="4" t="s">
        <v>96</v>
      </c>
      <c r="G142" s="4" t="s">
        <v>97</v>
      </c>
      <c r="H142" s="4" t="s">
        <v>55</v>
      </c>
      <c r="I142" s="4" t="s">
        <v>47</v>
      </c>
      <c r="J142" s="4" t="s">
        <v>98</v>
      </c>
      <c r="K142" s="48"/>
      <c r="L142" s="4" t="s">
        <v>99</v>
      </c>
    </row>
    <row r="143" ht="15.75" customHeight="1">
      <c r="A143" s="26" t="s">
        <v>100</v>
      </c>
      <c r="B143" s="5" t="s">
        <v>101</v>
      </c>
      <c r="C143" s="5"/>
      <c r="D143" s="7">
        <v>3.0</v>
      </c>
      <c r="E143" s="7">
        <v>10.0</v>
      </c>
      <c r="F143" s="5"/>
      <c r="G143" s="5"/>
      <c r="H143" s="5"/>
      <c r="I143" s="5"/>
      <c r="J143" s="5"/>
      <c r="K143" s="5"/>
      <c r="L143" s="5"/>
    </row>
    <row r="144" ht="15.75" customHeight="1">
      <c r="A144" s="45" t="s">
        <v>102</v>
      </c>
      <c r="B144" s="46">
        <v>45783.0</v>
      </c>
      <c r="C144" s="5"/>
      <c r="D144" s="7">
        <v>4.0</v>
      </c>
      <c r="E144" s="7">
        <v>6.0</v>
      </c>
      <c r="F144" s="5"/>
      <c r="G144" s="5"/>
      <c r="H144" s="5"/>
      <c r="I144" s="5"/>
      <c r="J144" s="5"/>
      <c r="K144" s="5"/>
      <c r="L144" s="5"/>
    </row>
    <row r="145" ht="15.75" customHeight="1">
      <c r="A145" s="25" t="s">
        <v>106</v>
      </c>
      <c r="B145" s="5" t="s">
        <v>114</v>
      </c>
      <c r="C145" s="5">
        <v>7.0</v>
      </c>
      <c r="D145" s="7">
        <v>5.0</v>
      </c>
      <c r="E145" s="7">
        <v>12.0</v>
      </c>
      <c r="F145" s="7">
        <v>7.0</v>
      </c>
      <c r="G145" s="25">
        <f t="shared" ref="G145:G146" si="23">IF(AND(D145&lt;&gt;"",E145&lt;&gt;""),D145*E145,0)</f>
        <v>60</v>
      </c>
      <c r="H145" s="22">
        <f t="shared" ref="H145:H146" si="24">IF(AND(D145&lt;&gt;"",E145&lt;&gt;""),ROUND(D145*(1+E145/30),1),"")</f>
        <v>7</v>
      </c>
      <c r="I145" s="5"/>
      <c r="J145" s="5"/>
      <c r="K145" s="5"/>
      <c r="L145" s="5"/>
    </row>
    <row r="146" ht="15.75" customHeight="1">
      <c r="A146" s="25" t="s">
        <v>107</v>
      </c>
      <c r="B146" s="5" t="s">
        <v>114</v>
      </c>
      <c r="C146" s="5">
        <v>7.0</v>
      </c>
      <c r="D146" s="7">
        <v>5.0</v>
      </c>
      <c r="E146" s="7">
        <v>12.0</v>
      </c>
      <c r="F146" s="7">
        <v>7.0</v>
      </c>
      <c r="G146" s="25">
        <f t="shared" si="23"/>
        <v>60</v>
      </c>
      <c r="H146" s="22">
        <f t="shared" si="24"/>
        <v>7</v>
      </c>
      <c r="I146" s="5"/>
      <c r="J146" s="5"/>
      <c r="K146" s="5"/>
      <c r="L146" s="5"/>
    </row>
    <row r="147" ht="15.75" customHeight="1">
      <c r="A147" s="9" t="s">
        <v>108</v>
      </c>
      <c r="B147" s="10"/>
      <c r="C147" s="10"/>
      <c r="D147" s="10"/>
      <c r="E147" s="10"/>
      <c r="F147" s="10"/>
      <c r="G147" s="9">
        <f>G145+G146</f>
        <v>120</v>
      </c>
      <c r="H147" s="42">
        <f>MAX(H145,H146)</f>
        <v>7</v>
      </c>
      <c r="I147" s="10"/>
      <c r="J147" s="57">
        <v>2.0</v>
      </c>
      <c r="K147" s="43" t="s">
        <v>31</v>
      </c>
      <c r="L147" s="43">
        <v>2.0</v>
      </c>
    </row>
    <row r="148" ht="15.75" customHeight="1">
      <c r="A148" s="16" t="s">
        <v>109</v>
      </c>
      <c r="B148" s="10" t="s">
        <v>126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40"/>
    </row>
    <row r="149" ht="15.75" customHeight="1">
      <c r="A149" s="16" t="s">
        <v>111</v>
      </c>
      <c r="B149" s="10" t="s">
        <v>127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40"/>
    </row>
    <row r="150" ht="15.75" customHeight="1"/>
    <row r="151" ht="15.75" customHeight="1">
      <c r="A151" s="35" t="s">
        <v>138</v>
      </c>
      <c r="B151" s="49"/>
      <c r="C151" s="50"/>
      <c r="D151" s="38"/>
      <c r="E151" s="38"/>
      <c r="F151" s="38"/>
      <c r="G151" s="38"/>
      <c r="H151" s="38"/>
      <c r="I151" s="38"/>
      <c r="J151" s="38"/>
      <c r="K151" s="38" t="s">
        <v>128</v>
      </c>
      <c r="L151" s="40"/>
    </row>
    <row r="152" ht="15.75" customHeight="1">
      <c r="A152" s="4" t="s">
        <v>92</v>
      </c>
      <c r="B152" s="4" t="s">
        <v>93</v>
      </c>
      <c r="C152" s="4" t="s">
        <v>94</v>
      </c>
      <c r="D152" s="4" t="s">
        <v>41</v>
      </c>
      <c r="E152" s="4" t="s">
        <v>95</v>
      </c>
      <c r="F152" s="4" t="s">
        <v>96</v>
      </c>
      <c r="G152" s="4" t="s">
        <v>97</v>
      </c>
      <c r="H152" s="4" t="s">
        <v>55</v>
      </c>
      <c r="I152" s="4" t="s">
        <v>47</v>
      </c>
      <c r="J152" s="4" t="s">
        <v>98</v>
      </c>
      <c r="K152" s="48"/>
      <c r="L152" s="4" t="s">
        <v>99</v>
      </c>
    </row>
    <row r="153" ht="15.75" customHeight="1">
      <c r="A153" s="26" t="s">
        <v>100</v>
      </c>
      <c r="B153" s="5" t="s">
        <v>101</v>
      </c>
      <c r="C153" s="5"/>
      <c r="D153" s="7">
        <v>11.0</v>
      </c>
      <c r="E153" s="7">
        <v>10.0</v>
      </c>
      <c r="F153" s="5"/>
      <c r="G153" s="5"/>
      <c r="H153" s="5"/>
      <c r="I153" s="5"/>
      <c r="J153" s="5"/>
      <c r="K153" s="5"/>
      <c r="L153" s="5"/>
    </row>
    <row r="154" ht="15.75" customHeight="1">
      <c r="A154" s="25" t="s">
        <v>106</v>
      </c>
      <c r="B154" s="5" t="s">
        <v>114</v>
      </c>
      <c r="C154" s="5">
        <v>7.0</v>
      </c>
      <c r="D154" s="5">
        <v>25.0</v>
      </c>
      <c r="E154" s="7">
        <v>15.0</v>
      </c>
      <c r="F154" s="7">
        <v>6.0</v>
      </c>
      <c r="G154" s="25">
        <f t="shared" ref="G154:G155" si="25">IF(AND(D154&lt;&gt;"",E154&lt;&gt;""),D154*E154,0)</f>
        <v>375</v>
      </c>
      <c r="H154" s="22">
        <f t="shared" ref="H154:H155" si="26">IF(AND(D154&lt;&gt;"",E154&lt;&gt;""),ROUND(D154*(1+E154/30),1),"")</f>
        <v>37.5</v>
      </c>
      <c r="I154" s="5"/>
      <c r="J154" s="5"/>
      <c r="K154" s="5"/>
      <c r="L154" s="5"/>
    </row>
    <row r="155" ht="15.75" customHeight="1">
      <c r="A155" s="25" t="s">
        <v>107</v>
      </c>
      <c r="B155" s="5" t="s">
        <v>114</v>
      </c>
      <c r="C155" s="5">
        <v>7.0</v>
      </c>
      <c r="D155" s="5">
        <v>25.0</v>
      </c>
      <c r="E155" s="7">
        <v>15.0</v>
      </c>
      <c r="F155" s="7">
        <v>7.0</v>
      </c>
      <c r="G155" s="25">
        <f t="shared" si="25"/>
        <v>375</v>
      </c>
      <c r="H155" s="22">
        <f t="shared" si="26"/>
        <v>37.5</v>
      </c>
      <c r="I155" s="5"/>
      <c r="J155" s="5"/>
      <c r="K155" s="5"/>
      <c r="L155" s="5"/>
    </row>
    <row r="156" ht="15.75" customHeight="1">
      <c r="A156" s="9" t="s">
        <v>108</v>
      </c>
      <c r="B156" s="10"/>
      <c r="C156" s="10"/>
      <c r="D156" s="10"/>
      <c r="E156" s="10"/>
      <c r="F156" s="10"/>
      <c r="G156" s="9">
        <f>G154+G155</f>
        <v>750</v>
      </c>
      <c r="H156" s="42">
        <f>MAX(H154,H155)</f>
        <v>37.5</v>
      </c>
      <c r="I156" s="10"/>
      <c r="J156" s="57">
        <v>2.0</v>
      </c>
      <c r="K156" s="43" t="s">
        <v>36</v>
      </c>
      <c r="L156" s="43">
        <v>2.0</v>
      </c>
    </row>
    <row r="157" ht="15.75" customHeight="1">
      <c r="A157" s="16" t="s">
        <v>109</v>
      </c>
      <c r="B157" s="10" t="s">
        <v>129</v>
      </c>
      <c r="C157" s="38"/>
      <c r="D157" s="38"/>
      <c r="E157" s="38"/>
      <c r="F157" s="38"/>
      <c r="G157" s="38"/>
      <c r="H157" s="38"/>
      <c r="I157" s="38"/>
      <c r="J157" s="38"/>
      <c r="K157" s="38"/>
      <c r="L157" s="40"/>
    </row>
    <row r="158" ht="15.75" customHeight="1">
      <c r="A158" s="16" t="s">
        <v>111</v>
      </c>
      <c r="B158" s="10" t="s">
        <v>130</v>
      </c>
      <c r="C158" s="38"/>
      <c r="D158" s="38"/>
      <c r="E158" s="38"/>
      <c r="F158" s="38"/>
      <c r="G158" s="38"/>
      <c r="H158" s="38"/>
      <c r="I158" s="38"/>
      <c r="J158" s="38"/>
      <c r="K158" s="38"/>
      <c r="L158" s="40"/>
    </row>
    <row r="159" ht="15.75" customHeight="1"/>
    <row r="160" ht="15.75" customHeight="1">
      <c r="A160" s="35" t="s">
        <v>131</v>
      </c>
      <c r="B160" s="36"/>
      <c r="C160" s="37"/>
      <c r="D160" s="38"/>
      <c r="E160" s="38"/>
      <c r="F160" s="38"/>
      <c r="G160" s="38"/>
      <c r="H160" s="38"/>
      <c r="I160" s="38"/>
      <c r="J160" s="38"/>
      <c r="K160" s="52" t="s">
        <v>139</v>
      </c>
      <c r="L160" s="40"/>
    </row>
    <row r="161" ht="15.75" customHeight="1">
      <c r="A161" s="4" t="s">
        <v>92</v>
      </c>
      <c r="B161" s="4" t="s">
        <v>93</v>
      </c>
      <c r="C161" s="4" t="s">
        <v>94</v>
      </c>
      <c r="D161" s="4" t="s">
        <v>41</v>
      </c>
      <c r="E161" s="4" t="s">
        <v>95</v>
      </c>
      <c r="F161" s="4" t="s">
        <v>96</v>
      </c>
      <c r="G161" s="4" t="s">
        <v>97</v>
      </c>
      <c r="H161" s="4" t="s">
        <v>55</v>
      </c>
      <c r="I161" s="4" t="s">
        <v>47</v>
      </c>
      <c r="J161" s="4" t="s">
        <v>98</v>
      </c>
      <c r="K161" s="48"/>
      <c r="L161" s="4" t="s">
        <v>99</v>
      </c>
    </row>
    <row r="162" ht="15.75" customHeight="1">
      <c r="A162" s="26" t="s">
        <v>100</v>
      </c>
      <c r="B162" s="5" t="s">
        <v>101</v>
      </c>
      <c r="C162" s="5"/>
      <c r="D162" s="7">
        <v>18.0</v>
      </c>
      <c r="E162" s="7">
        <v>10.0</v>
      </c>
      <c r="F162" s="5"/>
      <c r="G162" s="25"/>
      <c r="H162" s="22"/>
      <c r="I162" s="5"/>
      <c r="J162" s="5"/>
      <c r="K162" s="52"/>
      <c r="L162" s="5"/>
    </row>
    <row r="163" ht="15.75" customHeight="1">
      <c r="A163" s="25" t="s">
        <v>106</v>
      </c>
      <c r="B163" s="7">
        <v>12.0</v>
      </c>
      <c r="C163" s="7">
        <v>8.0</v>
      </c>
      <c r="D163" s="7">
        <v>25.0</v>
      </c>
      <c r="E163" s="7">
        <v>10.0</v>
      </c>
      <c r="F163" s="7">
        <v>8.0</v>
      </c>
      <c r="G163" s="25">
        <f t="shared" ref="G163:G164" si="27">IF(AND(D163&lt;&gt;"",E163&lt;&gt;""),D163*E163,0)</f>
        <v>250</v>
      </c>
      <c r="H163" s="22">
        <f t="shared" ref="H163:H164" si="28">IF(AND(D163&lt;&gt;"",E163&lt;&gt;""),ROUND(D163*(1+E163/30),1),"")</f>
        <v>33.3</v>
      </c>
      <c r="I163" s="5"/>
      <c r="J163" s="5"/>
      <c r="K163" s="52"/>
      <c r="L163" s="5"/>
    </row>
    <row r="164" ht="15.75" customHeight="1">
      <c r="A164" s="25" t="s">
        <v>107</v>
      </c>
      <c r="B164" s="7">
        <v>12.0</v>
      </c>
      <c r="C164" s="7">
        <v>8.0</v>
      </c>
      <c r="D164" s="7">
        <v>25.0</v>
      </c>
      <c r="E164" s="7">
        <v>12.0</v>
      </c>
      <c r="F164" s="7">
        <v>10.0</v>
      </c>
      <c r="G164" s="25">
        <f t="shared" si="27"/>
        <v>300</v>
      </c>
      <c r="H164" s="22">
        <f t="shared" si="28"/>
        <v>35</v>
      </c>
      <c r="I164" s="5"/>
      <c r="J164" s="5"/>
      <c r="L164" s="5"/>
    </row>
    <row r="165" ht="15.75" customHeight="1">
      <c r="A165" s="9" t="s">
        <v>108</v>
      </c>
      <c r="B165" s="10"/>
      <c r="C165" s="10"/>
      <c r="D165" s="10"/>
      <c r="E165" s="10"/>
      <c r="F165" s="10"/>
      <c r="G165" s="9">
        <f>G163+G164</f>
        <v>550</v>
      </c>
      <c r="H165" s="42">
        <f>MAX(H161,H164)</f>
        <v>35</v>
      </c>
      <c r="I165" s="10"/>
      <c r="J165" s="57">
        <v>2.0</v>
      </c>
      <c r="K165" s="57" t="s">
        <v>33</v>
      </c>
      <c r="L165" s="43">
        <v>2.0</v>
      </c>
    </row>
    <row r="166" ht="21.75" customHeight="1">
      <c r="A166" s="16" t="s">
        <v>109</v>
      </c>
      <c r="B166" s="10"/>
      <c r="C166" s="38"/>
      <c r="D166" s="38"/>
      <c r="E166" s="38"/>
      <c r="F166" s="38"/>
      <c r="G166" s="38"/>
      <c r="H166" s="38"/>
      <c r="I166" s="38"/>
      <c r="J166" s="38"/>
      <c r="K166" s="38"/>
      <c r="L166" s="40"/>
    </row>
    <row r="167" ht="15.75" customHeight="1">
      <c r="A167" s="16" t="s">
        <v>111</v>
      </c>
      <c r="B167" s="10"/>
      <c r="C167" s="38"/>
      <c r="D167" s="38"/>
      <c r="E167" s="38"/>
      <c r="F167" s="38"/>
      <c r="G167" s="38"/>
      <c r="H167" s="38"/>
      <c r="I167" s="38"/>
      <c r="J167" s="38"/>
      <c r="K167" s="38"/>
      <c r="L167" s="40"/>
    </row>
    <row r="168" ht="15.75" customHeight="1"/>
    <row r="169" ht="15.75" customHeight="1">
      <c r="A169" s="55" t="s">
        <v>133</v>
      </c>
      <c r="B169" s="36"/>
      <c r="C169" s="37"/>
      <c r="D169" s="38"/>
      <c r="E169" s="38"/>
      <c r="F169" s="38"/>
      <c r="G169" s="38"/>
      <c r="H169" s="38"/>
      <c r="I169" s="38"/>
      <c r="J169" s="38"/>
      <c r="K169" s="38"/>
      <c r="L169" s="40"/>
    </row>
    <row r="170" ht="15.75" customHeight="1">
      <c r="A170" s="16" t="s">
        <v>134</v>
      </c>
      <c r="B170" s="10"/>
      <c r="C170" s="10"/>
      <c r="D170" s="10"/>
      <c r="E170" s="10"/>
      <c r="F170" s="10"/>
      <c r="G170" s="9">
        <f>SUMIF(J:J,2,G:G)</f>
        <v>3105</v>
      </c>
      <c r="H170" s="10"/>
      <c r="I170" s="16" t="s">
        <v>135</v>
      </c>
      <c r="J170" s="10"/>
      <c r="K170" s="10"/>
      <c r="L170" s="56">
        <f>SUMIF(J:J,2,L:L)</f>
        <v>14</v>
      </c>
    </row>
    <row r="171" ht="15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</row>
    <row r="172" ht="15.75" customHeight="1">
      <c r="A172" s="59" t="s">
        <v>140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5.75" customHeight="1"/>
    <row r="174" ht="15.75" customHeight="1">
      <c r="A174" s="35" t="s">
        <v>90</v>
      </c>
      <c r="B174" s="36"/>
      <c r="C174" s="37"/>
      <c r="D174" s="38"/>
      <c r="E174" s="38"/>
      <c r="F174" s="38"/>
      <c r="G174" s="38"/>
      <c r="H174" s="38"/>
      <c r="I174" s="38"/>
      <c r="J174" s="38"/>
      <c r="K174" s="39" t="s">
        <v>91</v>
      </c>
      <c r="L174" s="40"/>
    </row>
    <row r="175" ht="15.75" customHeight="1">
      <c r="A175" s="4" t="s">
        <v>92</v>
      </c>
      <c r="B175" s="4" t="s">
        <v>93</v>
      </c>
      <c r="C175" s="4" t="s">
        <v>94</v>
      </c>
      <c r="D175" s="4" t="s">
        <v>41</v>
      </c>
      <c r="E175" s="4" t="s">
        <v>95</v>
      </c>
      <c r="F175" s="4" t="s">
        <v>96</v>
      </c>
      <c r="G175" s="4" t="s">
        <v>97</v>
      </c>
      <c r="H175" s="4" t="s">
        <v>55</v>
      </c>
      <c r="I175" s="4" t="s">
        <v>47</v>
      </c>
      <c r="J175" s="4" t="s">
        <v>98</v>
      </c>
      <c r="K175" s="4" t="s">
        <v>28</v>
      </c>
      <c r="L175" s="4" t="s">
        <v>99</v>
      </c>
    </row>
    <row r="176" ht="15.75" customHeight="1">
      <c r="A176" s="26" t="s">
        <v>100</v>
      </c>
      <c r="B176" s="5" t="s">
        <v>101</v>
      </c>
      <c r="C176" s="5"/>
      <c r="D176" s="7">
        <v>2.5</v>
      </c>
      <c r="E176" s="5"/>
      <c r="F176" s="5"/>
      <c r="G176" s="5"/>
      <c r="H176" s="5"/>
      <c r="I176" s="5"/>
      <c r="J176" s="5"/>
      <c r="K176" s="5"/>
      <c r="L176" s="5"/>
    </row>
    <row r="177" ht="15.75" customHeight="1">
      <c r="A177" s="26" t="s">
        <v>102</v>
      </c>
      <c r="B177" s="5" t="s">
        <v>103</v>
      </c>
      <c r="C177" s="5"/>
      <c r="D177" s="7">
        <v>5.0</v>
      </c>
      <c r="E177" s="5"/>
      <c r="F177" s="5"/>
      <c r="G177" s="5"/>
      <c r="H177" s="5"/>
      <c r="I177" s="5"/>
      <c r="J177" s="5"/>
      <c r="K177" s="5"/>
      <c r="L177" s="5"/>
    </row>
    <row r="178" ht="15.75" customHeight="1">
      <c r="A178" s="26" t="s">
        <v>104</v>
      </c>
      <c r="B178" s="5" t="s">
        <v>105</v>
      </c>
      <c r="C178" s="5"/>
      <c r="D178" s="7">
        <v>7.5</v>
      </c>
      <c r="E178" s="7"/>
      <c r="F178" s="5"/>
      <c r="G178" s="5"/>
      <c r="H178" s="5"/>
      <c r="I178" s="5"/>
      <c r="J178" s="5"/>
      <c r="K178" s="5"/>
      <c r="L178" s="5"/>
    </row>
    <row r="179" ht="15.75" customHeight="1">
      <c r="A179" s="25" t="s">
        <v>106</v>
      </c>
      <c r="B179" s="5" t="s">
        <v>101</v>
      </c>
      <c r="C179" s="7">
        <v>7.0</v>
      </c>
      <c r="D179" s="7">
        <v>10.0</v>
      </c>
      <c r="E179" s="5"/>
      <c r="F179" s="7"/>
      <c r="G179" s="25">
        <f t="shared" ref="G179:G180" si="29">IF(AND(D179&lt;&gt;"",E179&lt;&gt;""),D179*E179,0)</f>
        <v>0</v>
      </c>
      <c r="H179" s="22" t="str">
        <f t="shared" ref="H179:H180" si="30">IF(AND(D179&lt;&gt;"",E179&lt;&gt;""),ROUND(D179*(1+E179/30),1),"")</f>
        <v/>
      </c>
      <c r="I179" s="5"/>
      <c r="J179" s="5"/>
      <c r="K179" s="5"/>
      <c r="L179" s="5"/>
    </row>
    <row r="180" ht="15.75" customHeight="1">
      <c r="A180" s="25" t="s">
        <v>107</v>
      </c>
      <c r="B180" s="5" t="s">
        <v>101</v>
      </c>
      <c r="C180" s="7">
        <v>7.0</v>
      </c>
      <c r="D180" s="7">
        <v>10.0</v>
      </c>
      <c r="E180" s="5"/>
      <c r="F180" s="7"/>
      <c r="G180" s="25">
        <f t="shared" si="29"/>
        <v>0</v>
      </c>
      <c r="H180" s="22" t="str">
        <f t="shared" si="30"/>
        <v/>
      </c>
      <c r="I180" s="5"/>
      <c r="J180" s="5"/>
      <c r="K180" s="5"/>
      <c r="L180" s="5"/>
    </row>
    <row r="181" ht="15.75" customHeight="1">
      <c r="A181" s="9" t="s">
        <v>108</v>
      </c>
      <c r="B181" s="10"/>
      <c r="C181" s="10"/>
      <c r="D181" s="10"/>
      <c r="E181" s="10"/>
      <c r="F181" s="10"/>
      <c r="G181" s="9">
        <f>G179+G180</f>
        <v>0</v>
      </c>
      <c r="H181" s="42">
        <f>MAX(H179,H180)</f>
        <v>0</v>
      </c>
      <c r="I181" s="10"/>
      <c r="J181" s="57">
        <v>3.0</v>
      </c>
      <c r="K181" s="43" t="s">
        <v>31</v>
      </c>
      <c r="L181" s="43">
        <v>2.0</v>
      </c>
    </row>
    <row r="182" ht="15.75" customHeight="1">
      <c r="A182" s="16" t="s">
        <v>109</v>
      </c>
      <c r="B182" s="10" t="s">
        <v>110</v>
      </c>
      <c r="C182" s="38"/>
      <c r="D182" s="38"/>
      <c r="E182" s="38"/>
      <c r="F182" s="38"/>
      <c r="G182" s="38"/>
      <c r="H182" s="38"/>
      <c r="I182" s="38"/>
      <c r="J182" s="38"/>
      <c r="K182" s="38"/>
      <c r="L182" s="40"/>
    </row>
    <row r="183" ht="15.75" customHeight="1">
      <c r="A183" s="16" t="s">
        <v>111</v>
      </c>
      <c r="B183" s="10" t="s">
        <v>112</v>
      </c>
      <c r="C183" s="38"/>
      <c r="D183" s="38"/>
      <c r="E183" s="38"/>
      <c r="F183" s="38"/>
      <c r="G183" s="38"/>
      <c r="H183" s="38"/>
      <c r="I183" s="38"/>
      <c r="J183" s="38"/>
      <c r="K183" s="38"/>
      <c r="L183" s="40"/>
    </row>
    <row r="184" ht="15.75" customHeight="1"/>
    <row r="185" ht="15.75" customHeight="1">
      <c r="A185" s="44" t="s">
        <v>60</v>
      </c>
      <c r="B185" s="36"/>
      <c r="C185" s="37"/>
      <c r="D185" s="38"/>
      <c r="E185" s="38"/>
      <c r="F185" s="38"/>
      <c r="G185" s="38"/>
      <c r="H185" s="38"/>
      <c r="I185" s="38"/>
      <c r="J185" s="38"/>
      <c r="K185" s="39" t="s">
        <v>113</v>
      </c>
      <c r="L185" s="40"/>
    </row>
    <row r="186" ht="15.75" customHeight="1">
      <c r="A186" s="4" t="s">
        <v>92</v>
      </c>
      <c r="B186" s="4" t="s">
        <v>93</v>
      </c>
      <c r="C186" s="4" t="s">
        <v>94</v>
      </c>
      <c r="D186" s="4" t="s">
        <v>41</v>
      </c>
      <c r="E186" s="4" t="s">
        <v>95</v>
      </c>
      <c r="F186" s="4" t="s">
        <v>96</v>
      </c>
      <c r="G186" s="4" t="s">
        <v>97</v>
      </c>
      <c r="H186" s="4" t="s">
        <v>55</v>
      </c>
      <c r="I186" s="4" t="s">
        <v>47</v>
      </c>
      <c r="J186" s="4" t="s">
        <v>98</v>
      </c>
      <c r="K186" s="4" t="s">
        <v>28</v>
      </c>
      <c r="L186" s="4" t="s">
        <v>99</v>
      </c>
    </row>
    <row r="187" ht="15.75" customHeight="1">
      <c r="A187" s="26" t="s">
        <v>100</v>
      </c>
      <c r="B187" s="5" t="s">
        <v>114</v>
      </c>
      <c r="C187" s="5"/>
      <c r="D187" s="7">
        <v>16.0</v>
      </c>
      <c r="E187" s="7"/>
      <c r="F187" s="5"/>
      <c r="G187" s="5"/>
      <c r="H187" s="5"/>
      <c r="I187" s="5"/>
      <c r="J187" s="5"/>
      <c r="K187" s="5"/>
      <c r="L187" s="5"/>
    </row>
    <row r="188" ht="15.75" customHeight="1">
      <c r="A188" s="26" t="s">
        <v>102</v>
      </c>
      <c r="B188" s="5" t="s">
        <v>115</v>
      </c>
      <c r="C188" s="5"/>
      <c r="D188" s="7">
        <v>20.0</v>
      </c>
      <c r="E188" s="7"/>
      <c r="F188" s="5"/>
      <c r="G188" s="5"/>
      <c r="H188" s="5"/>
      <c r="I188" s="5"/>
      <c r="J188" s="5"/>
      <c r="K188" s="5"/>
      <c r="L188" s="5"/>
    </row>
    <row r="189" ht="15.75" customHeight="1">
      <c r="A189" s="25" t="s">
        <v>106</v>
      </c>
      <c r="B189" s="5" t="s">
        <v>101</v>
      </c>
      <c r="C189" s="5">
        <v>7.0</v>
      </c>
      <c r="D189" s="5">
        <v>25.0</v>
      </c>
      <c r="E189" s="5"/>
      <c r="F189" s="7"/>
      <c r="G189" s="25">
        <f t="shared" ref="G189:G190" si="31">IF(AND(D189&lt;&gt;"",E189&lt;&gt;""),D189*E189,0)</f>
        <v>0</v>
      </c>
      <c r="H189" s="22" t="str">
        <f t="shared" ref="H189:H190" si="32">IF(AND(D189&lt;&gt;"",E189&lt;&gt;""),ROUND(D189*(1+E189/30),1),"")</f>
        <v/>
      </c>
      <c r="I189" s="5"/>
      <c r="J189" s="5"/>
      <c r="K189" s="5"/>
      <c r="L189" s="5"/>
    </row>
    <row r="190" ht="15.75" customHeight="1">
      <c r="A190" s="25" t="s">
        <v>107</v>
      </c>
      <c r="B190" s="5" t="s">
        <v>101</v>
      </c>
      <c r="C190" s="5">
        <v>7.0</v>
      </c>
      <c r="D190" s="5">
        <v>30.0</v>
      </c>
      <c r="E190" s="5"/>
      <c r="F190" s="7"/>
      <c r="G190" s="25">
        <f t="shared" si="31"/>
        <v>0</v>
      </c>
      <c r="H190" s="22" t="str">
        <f t="shared" si="32"/>
        <v/>
      </c>
      <c r="I190" s="5"/>
      <c r="J190" s="5"/>
      <c r="K190" s="5"/>
      <c r="L190" s="5"/>
    </row>
    <row r="191" ht="15.75" customHeight="1">
      <c r="A191" s="9" t="s">
        <v>108</v>
      </c>
      <c r="B191" s="10"/>
      <c r="C191" s="10"/>
      <c r="D191" s="10"/>
      <c r="E191" s="10"/>
      <c r="F191" s="10"/>
      <c r="G191" s="9">
        <f>G189+G190</f>
        <v>0</v>
      </c>
      <c r="H191" s="42">
        <f>MAX(H189,H190)</f>
        <v>0</v>
      </c>
      <c r="I191" s="10"/>
      <c r="J191" s="57">
        <v>3.0</v>
      </c>
      <c r="K191" s="43" t="s">
        <v>34</v>
      </c>
      <c r="L191" s="43">
        <v>2.0</v>
      </c>
    </row>
    <row r="192" ht="15.75" customHeight="1">
      <c r="A192" s="16" t="s">
        <v>109</v>
      </c>
      <c r="B192" s="10" t="s">
        <v>116</v>
      </c>
      <c r="C192" s="38"/>
      <c r="D192" s="38"/>
      <c r="E192" s="38"/>
      <c r="F192" s="38"/>
      <c r="G192" s="38"/>
      <c r="H192" s="38"/>
      <c r="I192" s="38"/>
      <c r="J192" s="38"/>
      <c r="K192" s="38"/>
      <c r="L192" s="40"/>
    </row>
    <row r="193" ht="15.75" customHeight="1">
      <c r="A193" s="16" t="s">
        <v>111</v>
      </c>
      <c r="B193" s="10" t="s">
        <v>117</v>
      </c>
      <c r="C193" s="38"/>
      <c r="D193" s="38"/>
      <c r="E193" s="38"/>
      <c r="F193" s="38"/>
      <c r="G193" s="38"/>
      <c r="H193" s="38"/>
      <c r="I193" s="38"/>
      <c r="J193" s="38"/>
      <c r="K193" s="38"/>
      <c r="L193" s="40"/>
    </row>
    <row r="194" ht="15.75" customHeight="1"/>
    <row r="195" ht="15.75" customHeight="1">
      <c r="A195" s="44" t="s">
        <v>79</v>
      </c>
      <c r="B195" s="36"/>
      <c r="C195" s="37"/>
      <c r="D195" s="38"/>
      <c r="E195" s="38"/>
      <c r="F195" s="38"/>
      <c r="G195" s="38"/>
      <c r="H195" s="38"/>
      <c r="I195" s="38"/>
      <c r="J195" s="38"/>
      <c r="K195" s="39" t="s">
        <v>118</v>
      </c>
      <c r="L195" s="40"/>
    </row>
    <row r="196" ht="15.75" customHeight="1">
      <c r="A196" s="4" t="s">
        <v>92</v>
      </c>
      <c r="B196" s="4" t="s">
        <v>93</v>
      </c>
      <c r="C196" s="4" t="s">
        <v>94</v>
      </c>
      <c r="D196" s="4" t="s">
        <v>41</v>
      </c>
      <c r="E196" s="4" t="s">
        <v>95</v>
      </c>
      <c r="F196" s="4" t="s">
        <v>96</v>
      </c>
      <c r="G196" s="4" t="s">
        <v>97</v>
      </c>
      <c r="H196" s="4" t="s">
        <v>55</v>
      </c>
      <c r="I196" s="4" t="s">
        <v>47</v>
      </c>
      <c r="J196" s="4" t="s">
        <v>98</v>
      </c>
      <c r="K196" s="4" t="s">
        <v>28</v>
      </c>
      <c r="L196" s="4" t="s">
        <v>99</v>
      </c>
    </row>
    <row r="197" ht="15.75" customHeight="1">
      <c r="A197" s="26" t="s">
        <v>100</v>
      </c>
      <c r="B197" s="5" t="s">
        <v>101</v>
      </c>
      <c r="C197" s="5"/>
      <c r="D197" s="7">
        <v>3.0</v>
      </c>
      <c r="E197" s="7"/>
      <c r="F197" s="5"/>
      <c r="G197" s="5"/>
      <c r="H197" s="5"/>
      <c r="I197" s="5"/>
      <c r="J197" s="5"/>
      <c r="K197" s="5"/>
      <c r="L197" s="5"/>
    </row>
    <row r="198" ht="15.75" customHeight="1">
      <c r="A198" s="45" t="s">
        <v>102</v>
      </c>
      <c r="B198" s="46">
        <v>45783.0</v>
      </c>
      <c r="C198" s="5"/>
      <c r="D198" s="7">
        <v>5.0</v>
      </c>
      <c r="E198" s="7"/>
      <c r="F198" s="5"/>
      <c r="G198" s="5"/>
      <c r="H198" s="5"/>
      <c r="I198" s="5"/>
      <c r="J198" s="5"/>
      <c r="K198" s="5"/>
      <c r="L198" s="5"/>
    </row>
    <row r="199" ht="15.75" customHeight="1">
      <c r="A199" s="45" t="s">
        <v>104</v>
      </c>
      <c r="B199" s="46">
        <v>45720.0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5.75" customHeight="1">
      <c r="A200" s="25" t="s">
        <v>106</v>
      </c>
      <c r="B200" s="5" t="s">
        <v>114</v>
      </c>
      <c r="C200" s="5">
        <v>7.0</v>
      </c>
      <c r="D200" s="5">
        <v>7.5</v>
      </c>
      <c r="E200" s="5"/>
      <c r="F200" s="7"/>
      <c r="G200" s="25">
        <f t="shared" ref="G200:G201" si="33">IF(AND(D200&lt;&gt;"",E200&lt;&gt;""),D200*E200,0)</f>
        <v>0</v>
      </c>
      <c r="H200" s="22" t="str">
        <f t="shared" ref="H200:H201" si="34">IF(AND(D200&lt;&gt;"",E200&lt;&gt;""),ROUND(D200*(1+E200/30),1),"")</f>
        <v/>
      </c>
      <c r="I200" s="5"/>
      <c r="J200" s="5"/>
      <c r="K200" s="5"/>
      <c r="L200" s="5"/>
    </row>
    <row r="201" ht="15.75" customHeight="1">
      <c r="A201" s="25" t="s">
        <v>107</v>
      </c>
      <c r="B201" s="5" t="s">
        <v>114</v>
      </c>
      <c r="C201" s="5">
        <v>7.0</v>
      </c>
      <c r="D201" s="5">
        <v>7.5</v>
      </c>
      <c r="E201" s="5"/>
      <c r="F201" s="5"/>
      <c r="G201" s="25">
        <f t="shared" si="33"/>
        <v>0</v>
      </c>
      <c r="H201" s="22" t="str">
        <f t="shared" si="34"/>
        <v/>
      </c>
      <c r="I201" s="5"/>
      <c r="J201" s="5"/>
      <c r="K201" s="5"/>
      <c r="L201" s="5"/>
    </row>
    <row r="202" ht="15.75" customHeight="1">
      <c r="A202" s="9" t="s">
        <v>108</v>
      </c>
      <c r="B202" s="10"/>
      <c r="C202" s="10"/>
      <c r="D202" s="10"/>
      <c r="E202" s="10"/>
      <c r="F202" s="10"/>
      <c r="G202" s="9">
        <f>G200+G201</f>
        <v>0</v>
      </c>
      <c r="H202" s="42">
        <f>MAX(H200,H201)</f>
        <v>0</v>
      </c>
      <c r="I202" s="10"/>
      <c r="J202" s="57">
        <v>3.0</v>
      </c>
      <c r="K202" s="43" t="s">
        <v>32</v>
      </c>
      <c r="L202" s="43">
        <v>2.0</v>
      </c>
    </row>
    <row r="203" ht="15.75" customHeight="1">
      <c r="A203" s="16" t="s">
        <v>109</v>
      </c>
      <c r="B203" s="10" t="s">
        <v>119</v>
      </c>
      <c r="C203" s="38"/>
      <c r="D203" s="38"/>
      <c r="E203" s="38"/>
      <c r="F203" s="38"/>
      <c r="G203" s="38"/>
      <c r="H203" s="38"/>
      <c r="I203" s="38"/>
      <c r="J203" s="38"/>
      <c r="K203" s="38"/>
      <c r="L203" s="40"/>
    </row>
    <row r="204" ht="15.75" customHeight="1">
      <c r="A204" s="16" t="s">
        <v>111</v>
      </c>
      <c r="B204" s="10" t="s">
        <v>120</v>
      </c>
      <c r="C204" s="38"/>
      <c r="D204" s="38"/>
      <c r="E204" s="38"/>
      <c r="F204" s="38"/>
      <c r="G204" s="38"/>
      <c r="H204" s="38"/>
      <c r="I204" s="38"/>
      <c r="J204" s="38"/>
      <c r="K204" s="38"/>
      <c r="L204" s="40"/>
    </row>
    <row r="205" ht="15.75" customHeight="1"/>
    <row r="206" ht="15.75" customHeight="1">
      <c r="A206" s="44" t="s">
        <v>81</v>
      </c>
      <c r="B206" s="36"/>
      <c r="C206" s="37"/>
      <c r="D206" s="38"/>
      <c r="E206" s="38"/>
      <c r="F206" s="38"/>
      <c r="G206" s="38"/>
      <c r="H206" s="38"/>
      <c r="I206" s="38"/>
      <c r="J206" s="38"/>
      <c r="K206" s="39" t="s">
        <v>121</v>
      </c>
      <c r="L206" s="40"/>
    </row>
    <row r="207" ht="15.75" customHeight="1">
      <c r="A207" s="4" t="s">
        <v>92</v>
      </c>
      <c r="B207" s="4" t="s">
        <v>93</v>
      </c>
      <c r="C207" s="4" t="s">
        <v>94</v>
      </c>
      <c r="D207" s="4" t="s">
        <v>41</v>
      </c>
      <c r="E207" s="4" t="s">
        <v>95</v>
      </c>
      <c r="F207" s="4" t="s">
        <v>96</v>
      </c>
      <c r="G207" s="4" t="s">
        <v>97</v>
      </c>
      <c r="H207" s="4" t="s">
        <v>55</v>
      </c>
      <c r="I207" s="4" t="s">
        <v>47</v>
      </c>
      <c r="J207" s="4" t="s">
        <v>98</v>
      </c>
      <c r="K207" s="4" t="s">
        <v>28</v>
      </c>
      <c r="L207" s="4" t="s">
        <v>99</v>
      </c>
    </row>
    <row r="208" ht="15.75" customHeight="1">
      <c r="A208" s="26" t="s">
        <v>100</v>
      </c>
      <c r="B208" s="5" t="s">
        <v>101</v>
      </c>
      <c r="C208" s="5"/>
      <c r="D208" s="7">
        <v>15.0</v>
      </c>
      <c r="E208" s="5"/>
      <c r="F208" s="5"/>
      <c r="G208" s="5"/>
      <c r="H208" s="5"/>
      <c r="I208" s="5"/>
      <c r="J208" s="5"/>
      <c r="K208" s="5"/>
      <c r="L208" s="5"/>
    </row>
    <row r="209" ht="15.75" customHeight="1">
      <c r="A209" s="45" t="s">
        <v>102</v>
      </c>
      <c r="B209" s="46">
        <v>45783.0</v>
      </c>
      <c r="C209" s="5"/>
      <c r="D209" s="7">
        <v>25.0</v>
      </c>
      <c r="E209" s="5"/>
      <c r="F209" s="5"/>
      <c r="G209" s="5"/>
      <c r="H209" s="5"/>
      <c r="I209" s="5"/>
      <c r="J209" s="5"/>
      <c r="K209" s="5"/>
      <c r="L209" s="5"/>
    </row>
    <row r="210" ht="15.75" customHeight="1">
      <c r="A210" s="45" t="s">
        <v>104</v>
      </c>
      <c r="B210" s="46">
        <v>45720.0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5.75" customHeight="1">
      <c r="A211" s="25" t="s">
        <v>106</v>
      </c>
      <c r="B211" s="5" t="s">
        <v>101</v>
      </c>
      <c r="C211" s="5">
        <v>7.0</v>
      </c>
      <c r="D211" s="7">
        <v>35.0</v>
      </c>
      <c r="E211" s="5"/>
      <c r="F211" s="7"/>
      <c r="G211" s="25">
        <f t="shared" ref="G211:G212" si="35">IF(AND(D211&lt;&gt;"",E211&lt;&gt;""),D211*E211,0)</f>
        <v>0</v>
      </c>
      <c r="H211" s="22" t="str">
        <f t="shared" ref="H211:H212" si="36">IF(AND(D211&lt;&gt;"",E211&lt;&gt;""),ROUND(D211*(1+E211/30),1),"")</f>
        <v/>
      </c>
      <c r="I211" s="5"/>
      <c r="J211" s="5"/>
      <c r="K211" s="5"/>
      <c r="L211" s="5"/>
    </row>
    <row r="212" ht="15.75" customHeight="1">
      <c r="A212" s="25" t="s">
        <v>107</v>
      </c>
      <c r="B212" s="5" t="s">
        <v>101</v>
      </c>
      <c r="C212" s="5">
        <v>7.0</v>
      </c>
      <c r="D212" s="7">
        <v>35.0</v>
      </c>
      <c r="E212" s="5"/>
      <c r="F212" s="7"/>
      <c r="G212" s="25">
        <f t="shared" si="35"/>
        <v>0</v>
      </c>
      <c r="H212" s="22" t="str">
        <f t="shared" si="36"/>
        <v/>
      </c>
      <c r="I212" s="5"/>
      <c r="J212" s="5"/>
      <c r="K212" s="5"/>
      <c r="L212" s="5"/>
    </row>
    <row r="213" ht="15.75" customHeight="1">
      <c r="A213" s="9" t="s">
        <v>108</v>
      </c>
      <c r="B213" s="10"/>
      <c r="C213" s="10"/>
      <c r="D213" s="10"/>
      <c r="E213" s="10"/>
      <c r="F213" s="10"/>
      <c r="G213" s="9">
        <f>G211+G212</f>
        <v>0</v>
      </c>
      <c r="H213" s="42">
        <f>MAX(H211,H212)</f>
        <v>0</v>
      </c>
      <c r="I213" s="10"/>
      <c r="J213" s="57">
        <v>3.0</v>
      </c>
      <c r="K213" s="43" t="s">
        <v>34</v>
      </c>
      <c r="L213" s="43">
        <v>2.0</v>
      </c>
    </row>
    <row r="214" ht="15.75" customHeight="1">
      <c r="A214" s="16" t="s">
        <v>109</v>
      </c>
      <c r="B214" s="10" t="s">
        <v>122</v>
      </c>
      <c r="C214" s="38"/>
      <c r="D214" s="38"/>
      <c r="E214" s="38"/>
      <c r="F214" s="38"/>
      <c r="G214" s="38"/>
      <c r="H214" s="38"/>
      <c r="I214" s="38"/>
      <c r="J214" s="38"/>
      <c r="K214" s="38"/>
      <c r="L214" s="40"/>
    </row>
    <row r="215" ht="15.75" customHeight="1">
      <c r="A215" s="16" t="s">
        <v>111</v>
      </c>
      <c r="B215" s="10" t="s">
        <v>123</v>
      </c>
      <c r="C215" s="38"/>
      <c r="D215" s="38"/>
      <c r="E215" s="38"/>
      <c r="F215" s="38"/>
      <c r="G215" s="38"/>
      <c r="H215" s="38"/>
      <c r="I215" s="38"/>
      <c r="J215" s="38"/>
      <c r="K215" s="38"/>
      <c r="L215" s="40"/>
    </row>
    <row r="216" ht="15.75" customHeight="1"/>
    <row r="217" ht="15.75" customHeight="1">
      <c r="A217" s="44" t="s">
        <v>124</v>
      </c>
      <c r="B217" s="36"/>
      <c r="C217" s="37"/>
      <c r="K217" s="47" t="s">
        <v>125</v>
      </c>
    </row>
    <row r="218" ht="15.75" customHeight="1">
      <c r="A218" s="4" t="s">
        <v>92</v>
      </c>
      <c r="B218" s="4" t="s">
        <v>93</v>
      </c>
      <c r="C218" s="4" t="s">
        <v>94</v>
      </c>
      <c r="D218" s="4" t="s">
        <v>41</v>
      </c>
      <c r="E218" s="4" t="s">
        <v>95</v>
      </c>
      <c r="F218" s="4" t="s">
        <v>96</v>
      </c>
      <c r="G218" s="4" t="s">
        <v>97</v>
      </c>
      <c r="H218" s="4" t="s">
        <v>55</v>
      </c>
      <c r="I218" s="4" t="s">
        <v>47</v>
      </c>
      <c r="J218" s="4" t="s">
        <v>98</v>
      </c>
      <c r="K218" s="48"/>
      <c r="L218" s="4" t="s">
        <v>99</v>
      </c>
    </row>
    <row r="219" ht="15.75" customHeight="1">
      <c r="A219" s="26" t="s">
        <v>100</v>
      </c>
      <c r="B219" s="5" t="s">
        <v>101</v>
      </c>
      <c r="C219" s="5"/>
      <c r="D219" s="7">
        <v>2.0</v>
      </c>
      <c r="E219" s="7"/>
      <c r="F219" s="5"/>
      <c r="G219" s="5"/>
      <c r="H219" s="5"/>
      <c r="I219" s="5"/>
      <c r="J219" s="5"/>
      <c r="K219" s="5"/>
      <c r="L219" s="5"/>
    </row>
    <row r="220" ht="15.75" customHeight="1">
      <c r="A220" s="45" t="s">
        <v>102</v>
      </c>
      <c r="B220" s="46">
        <v>45783.0</v>
      </c>
      <c r="C220" s="5"/>
      <c r="D220" s="7">
        <v>4.0</v>
      </c>
      <c r="E220" s="7"/>
      <c r="F220" s="5"/>
      <c r="G220" s="5"/>
      <c r="H220" s="5"/>
      <c r="I220" s="5"/>
      <c r="J220" s="5"/>
      <c r="K220" s="5"/>
      <c r="L220" s="5"/>
    </row>
    <row r="221" ht="15.75" customHeight="1">
      <c r="A221" s="25" t="s">
        <v>106</v>
      </c>
      <c r="B221" s="5" t="s">
        <v>114</v>
      </c>
      <c r="C221" s="5">
        <v>7.0</v>
      </c>
      <c r="D221" s="7">
        <v>5.0</v>
      </c>
      <c r="E221" s="7"/>
      <c r="F221" s="7"/>
      <c r="G221" s="25">
        <f t="shared" ref="G221:G222" si="37">IF(AND(D221&lt;&gt;"",E221&lt;&gt;""),D221*E221,0)</f>
        <v>0</v>
      </c>
      <c r="H221" s="22" t="str">
        <f t="shared" ref="H221:H222" si="38">IF(AND(D221&lt;&gt;"",E221&lt;&gt;""),ROUND(D221*(1+E221/30),1),"")</f>
        <v/>
      </c>
      <c r="I221" s="5"/>
      <c r="J221" s="5"/>
      <c r="K221" s="5"/>
      <c r="L221" s="5"/>
    </row>
    <row r="222" ht="15.75" customHeight="1">
      <c r="A222" s="25" t="s">
        <v>107</v>
      </c>
      <c r="B222" s="5" t="s">
        <v>114</v>
      </c>
      <c r="C222" s="5">
        <v>7.0</v>
      </c>
      <c r="D222" s="7">
        <v>5.0</v>
      </c>
      <c r="E222" s="5"/>
      <c r="F222" s="7"/>
      <c r="G222" s="25">
        <f t="shared" si="37"/>
        <v>0</v>
      </c>
      <c r="H222" s="22" t="str">
        <f t="shared" si="38"/>
        <v/>
      </c>
      <c r="I222" s="5"/>
      <c r="J222" s="5"/>
      <c r="K222" s="5"/>
      <c r="L222" s="5"/>
    </row>
    <row r="223" ht="15.75" customHeight="1">
      <c r="A223" s="9" t="s">
        <v>108</v>
      </c>
      <c r="B223" s="10"/>
      <c r="C223" s="10"/>
      <c r="D223" s="10"/>
      <c r="E223" s="10"/>
      <c r="F223" s="10"/>
      <c r="G223" s="9">
        <f>G221+G222</f>
        <v>0</v>
      </c>
      <c r="H223" s="42">
        <f>MAX(H221,H222)</f>
        <v>0</v>
      </c>
      <c r="I223" s="10"/>
      <c r="J223" s="57">
        <v>3.0</v>
      </c>
      <c r="K223" s="43" t="s">
        <v>31</v>
      </c>
      <c r="L223" s="43">
        <v>2.0</v>
      </c>
    </row>
    <row r="224" ht="15.75" customHeight="1">
      <c r="A224" s="16" t="s">
        <v>109</v>
      </c>
      <c r="B224" s="10" t="s">
        <v>126</v>
      </c>
      <c r="C224" s="38"/>
      <c r="D224" s="38"/>
      <c r="E224" s="38"/>
      <c r="F224" s="38"/>
      <c r="G224" s="38"/>
      <c r="H224" s="38"/>
      <c r="I224" s="38"/>
      <c r="J224" s="38"/>
      <c r="K224" s="38"/>
      <c r="L224" s="40"/>
    </row>
    <row r="225" ht="15.75" customHeight="1">
      <c r="A225" s="16" t="s">
        <v>111</v>
      </c>
      <c r="B225" s="10" t="s">
        <v>127</v>
      </c>
      <c r="C225" s="38"/>
      <c r="D225" s="38"/>
      <c r="E225" s="38"/>
      <c r="F225" s="38"/>
      <c r="G225" s="38"/>
      <c r="H225" s="38"/>
      <c r="I225" s="38"/>
      <c r="J225" s="38"/>
      <c r="K225" s="38"/>
      <c r="L225" s="40"/>
    </row>
    <row r="226" ht="15.75" customHeight="1"/>
    <row r="227" ht="15.75" customHeight="1">
      <c r="A227" s="44" t="s">
        <v>85</v>
      </c>
      <c r="B227" s="49"/>
      <c r="C227" s="50"/>
      <c r="D227" s="38"/>
      <c r="E227" s="38"/>
      <c r="F227" s="38"/>
      <c r="G227" s="38"/>
      <c r="H227" s="38"/>
      <c r="I227" s="38"/>
      <c r="J227" s="38"/>
      <c r="K227" s="38" t="s">
        <v>128</v>
      </c>
      <c r="L227" s="40"/>
    </row>
    <row r="228" ht="15.75" customHeight="1">
      <c r="A228" s="4" t="s">
        <v>92</v>
      </c>
      <c r="B228" s="4" t="s">
        <v>93</v>
      </c>
      <c r="C228" s="4" t="s">
        <v>94</v>
      </c>
      <c r="D228" s="4" t="s">
        <v>41</v>
      </c>
      <c r="E228" s="4" t="s">
        <v>95</v>
      </c>
      <c r="F228" s="4" t="s">
        <v>96</v>
      </c>
      <c r="G228" s="4" t="s">
        <v>97</v>
      </c>
      <c r="H228" s="4" t="s">
        <v>55</v>
      </c>
      <c r="I228" s="4" t="s">
        <v>47</v>
      </c>
      <c r="J228" s="4" t="s">
        <v>98</v>
      </c>
      <c r="K228" s="48"/>
      <c r="L228" s="4" t="s">
        <v>99</v>
      </c>
    </row>
    <row r="229" ht="15.75" customHeight="1">
      <c r="A229" s="26" t="s">
        <v>100</v>
      </c>
      <c r="B229" s="5" t="s">
        <v>101</v>
      </c>
      <c r="C229" s="5"/>
      <c r="D229" s="7">
        <v>11.0</v>
      </c>
      <c r="E229" s="7"/>
      <c r="F229" s="5"/>
      <c r="G229" s="5"/>
      <c r="H229" s="5"/>
      <c r="I229" s="5"/>
      <c r="J229" s="5"/>
      <c r="K229" s="5"/>
      <c r="L229" s="5"/>
    </row>
    <row r="230" ht="15.75" customHeight="1">
      <c r="A230" s="25" t="s">
        <v>106</v>
      </c>
      <c r="B230" s="5" t="s">
        <v>114</v>
      </c>
      <c r="C230" s="5">
        <v>7.0</v>
      </c>
      <c r="D230" s="5">
        <v>25.0</v>
      </c>
      <c r="E230" s="5"/>
      <c r="F230" s="5"/>
      <c r="G230" s="25">
        <f t="shared" ref="G230:G231" si="39">IF(AND(D230&lt;&gt;"",E230&lt;&gt;""),D230*E230,0)</f>
        <v>0</v>
      </c>
      <c r="H230" s="22" t="str">
        <f t="shared" ref="H230:H231" si="40">IF(AND(D230&lt;&gt;"",E230&lt;&gt;""),ROUND(D230*(1+E230/30),1),"")</f>
        <v/>
      </c>
      <c r="I230" s="5"/>
      <c r="J230" s="5"/>
      <c r="K230" s="5"/>
      <c r="L230" s="5"/>
    </row>
    <row r="231" ht="15.75" customHeight="1">
      <c r="A231" s="25" t="s">
        <v>107</v>
      </c>
      <c r="B231" s="5" t="s">
        <v>114</v>
      </c>
      <c r="C231" s="5">
        <v>7.0</v>
      </c>
      <c r="D231" s="5">
        <v>25.0</v>
      </c>
      <c r="E231" s="5"/>
      <c r="F231" s="5"/>
      <c r="G231" s="25">
        <f t="shared" si="39"/>
        <v>0</v>
      </c>
      <c r="H231" s="22" t="str">
        <f t="shared" si="40"/>
        <v/>
      </c>
      <c r="I231" s="5"/>
      <c r="J231" s="5"/>
      <c r="K231" s="5"/>
      <c r="L231" s="5"/>
    </row>
    <row r="232" ht="15.75" customHeight="1">
      <c r="A232" s="9" t="s">
        <v>108</v>
      </c>
      <c r="B232" s="10"/>
      <c r="C232" s="10"/>
      <c r="D232" s="10"/>
      <c r="E232" s="10"/>
      <c r="F232" s="10"/>
      <c r="G232" s="9">
        <f>G230+G231</f>
        <v>0</v>
      </c>
      <c r="H232" s="42">
        <f>MAX(H230,H231)</f>
        <v>0</v>
      </c>
      <c r="I232" s="10"/>
      <c r="J232" s="57">
        <v>3.0</v>
      </c>
      <c r="K232" s="43" t="s">
        <v>36</v>
      </c>
      <c r="L232" s="43">
        <v>2.0</v>
      </c>
    </row>
    <row r="233" ht="15.75" customHeight="1">
      <c r="A233" s="16" t="s">
        <v>109</v>
      </c>
      <c r="B233" s="10" t="s">
        <v>129</v>
      </c>
      <c r="C233" s="38"/>
      <c r="D233" s="38"/>
      <c r="E233" s="38"/>
      <c r="F233" s="38"/>
      <c r="G233" s="38"/>
      <c r="H233" s="38"/>
      <c r="I233" s="38"/>
      <c r="J233" s="38"/>
      <c r="K233" s="38"/>
      <c r="L233" s="40"/>
    </row>
    <row r="234" ht="15.75" customHeight="1">
      <c r="A234" s="16" t="s">
        <v>111</v>
      </c>
      <c r="B234" s="10" t="s">
        <v>130</v>
      </c>
      <c r="C234" s="38"/>
      <c r="D234" s="38"/>
      <c r="E234" s="38"/>
      <c r="F234" s="38"/>
      <c r="G234" s="38"/>
      <c r="H234" s="38"/>
      <c r="I234" s="38"/>
      <c r="J234" s="38"/>
      <c r="K234" s="38"/>
      <c r="L234" s="40"/>
    </row>
    <row r="235" ht="15.75" customHeight="1"/>
    <row r="236" ht="15.75" customHeight="1">
      <c r="A236" s="35" t="s">
        <v>131</v>
      </c>
      <c r="B236" s="36"/>
      <c r="C236" s="37"/>
      <c r="D236" s="38"/>
      <c r="E236" s="38"/>
      <c r="F236" s="38"/>
      <c r="G236" s="38"/>
      <c r="H236" s="38"/>
      <c r="I236" s="38"/>
      <c r="J236" s="38"/>
      <c r="K236" s="52" t="s">
        <v>139</v>
      </c>
      <c r="L236" s="40"/>
    </row>
    <row r="237" ht="21.75" customHeight="1">
      <c r="A237" s="4" t="s">
        <v>92</v>
      </c>
      <c r="B237" s="4" t="s">
        <v>93</v>
      </c>
      <c r="C237" s="4" t="s">
        <v>94</v>
      </c>
      <c r="D237" s="4" t="s">
        <v>41</v>
      </c>
      <c r="E237" s="4" t="s">
        <v>95</v>
      </c>
      <c r="F237" s="4" t="s">
        <v>96</v>
      </c>
      <c r="G237" s="4" t="s">
        <v>97</v>
      </c>
      <c r="H237" s="4" t="s">
        <v>55</v>
      </c>
      <c r="I237" s="4" t="s">
        <v>47</v>
      </c>
      <c r="J237" s="4" t="s">
        <v>98</v>
      </c>
      <c r="K237" s="48"/>
      <c r="L237" s="4" t="s">
        <v>99</v>
      </c>
    </row>
    <row r="238" ht="15.75" customHeight="1">
      <c r="A238" s="26" t="s">
        <v>100</v>
      </c>
      <c r="B238" s="5" t="s">
        <v>101</v>
      </c>
      <c r="C238" s="5"/>
      <c r="D238" s="7">
        <v>5.0</v>
      </c>
      <c r="E238" s="7"/>
      <c r="F238" s="5"/>
      <c r="G238" s="25"/>
      <c r="H238" s="22"/>
      <c r="I238" s="5"/>
      <c r="J238" s="5"/>
      <c r="K238" s="52"/>
      <c r="L238" s="5"/>
    </row>
    <row r="239" ht="15.75" customHeight="1">
      <c r="A239" s="25" t="s">
        <v>106</v>
      </c>
      <c r="B239" s="7">
        <v>12.0</v>
      </c>
      <c r="C239" s="7">
        <v>8.0</v>
      </c>
      <c r="D239" s="7">
        <v>11.0</v>
      </c>
      <c r="E239" s="7"/>
      <c r="F239" s="7"/>
      <c r="G239" s="25">
        <f t="shared" ref="G239:G240" si="41">IF(AND(D239&lt;&gt;"",E239&lt;&gt;""),D239*E239,0)</f>
        <v>0</v>
      </c>
      <c r="H239" s="22" t="str">
        <f t="shared" ref="H239:H240" si="42">IF(AND(D239&lt;&gt;"",E239&lt;&gt;""),ROUND(D239*(1+E239/30),1),"")</f>
        <v/>
      </c>
      <c r="I239" s="5"/>
      <c r="J239" s="5"/>
      <c r="K239" s="52"/>
      <c r="L239" s="5"/>
    </row>
    <row r="240" ht="15.75" customHeight="1">
      <c r="A240" s="25" t="s">
        <v>107</v>
      </c>
      <c r="B240" s="7">
        <v>12.0</v>
      </c>
      <c r="C240" s="7">
        <v>8.0</v>
      </c>
      <c r="D240" s="7">
        <v>11.0</v>
      </c>
      <c r="E240" s="7"/>
      <c r="F240" s="7"/>
      <c r="G240" s="25">
        <f t="shared" si="41"/>
        <v>0</v>
      </c>
      <c r="H240" s="22" t="str">
        <f t="shared" si="42"/>
        <v/>
      </c>
      <c r="I240" s="5"/>
      <c r="J240" s="5"/>
      <c r="L240" s="5"/>
    </row>
    <row r="241" ht="15.75" customHeight="1">
      <c r="A241" s="9" t="s">
        <v>108</v>
      </c>
      <c r="B241" s="10"/>
      <c r="C241" s="10"/>
      <c r="D241" s="10"/>
      <c r="E241" s="10"/>
      <c r="F241" s="10"/>
      <c r="G241" s="9">
        <f>G239+G240</f>
        <v>0</v>
      </c>
      <c r="H241" s="42">
        <f>MAX(H237,H240)</f>
        <v>0</v>
      </c>
      <c r="I241" s="10"/>
      <c r="J241" s="57">
        <v>3.0</v>
      </c>
      <c r="K241" s="57" t="s">
        <v>33</v>
      </c>
      <c r="L241" s="43">
        <v>2.0</v>
      </c>
    </row>
    <row r="242" ht="15.75" customHeight="1">
      <c r="A242" s="16" t="s">
        <v>109</v>
      </c>
      <c r="B242" s="10"/>
      <c r="C242" s="38"/>
      <c r="D242" s="38"/>
      <c r="E242" s="38"/>
      <c r="F242" s="38"/>
      <c r="G242" s="38"/>
      <c r="H242" s="38"/>
      <c r="I242" s="38"/>
      <c r="J242" s="38"/>
      <c r="K242" s="38"/>
      <c r="L242" s="40"/>
    </row>
    <row r="243" ht="15.75" customHeight="1">
      <c r="A243" s="16" t="s">
        <v>111</v>
      </c>
      <c r="B243" s="10"/>
      <c r="C243" s="38"/>
      <c r="D243" s="38"/>
      <c r="E243" s="38"/>
      <c r="F243" s="38"/>
      <c r="G243" s="38"/>
      <c r="H243" s="38"/>
      <c r="I243" s="38"/>
      <c r="J243" s="38"/>
      <c r="K243" s="38"/>
      <c r="L243" s="40"/>
    </row>
    <row r="244" ht="15.75" customHeight="1"/>
    <row r="245" ht="15.75" customHeight="1">
      <c r="A245" s="55" t="s">
        <v>133</v>
      </c>
      <c r="B245" s="36"/>
      <c r="C245" s="37"/>
      <c r="D245" s="38"/>
      <c r="E245" s="38"/>
      <c r="F245" s="38"/>
      <c r="G245" s="38"/>
      <c r="H245" s="38"/>
      <c r="I245" s="38"/>
      <c r="J245" s="38"/>
      <c r="K245" s="38"/>
      <c r="L245" s="40"/>
    </row>
    <row r="246" ht="15.75" customHeight="1">
      <c r="A246" s="16" t="s">
        <v>134</v>
      </c>
      <c r="B246" s="10"/>
      <c r="C246" s="10"/>
      <c r="D246" s="10"/>
      <c r="E246" s="10"/>
      <c r="F246" s="10"/>
      <c r="G246" s="9">
        <f>SUMIF(J:J,3,G:G)</f>
        <v>0</v>
      </c>
      <c r="H246" s="10"/>
      <c r="I246" s="16" t="s">
        <v>135</v>
      </c>
      <c r="J246" s="10"/>
      <c r="K246" s="10"/>
      <c r="L246" s="56">
        <f>SUMIF(J:J,3,L:L)</f>
        <v>14</v>
      </c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</row>
    <row r="248" ht="15.75" customHeight="1">
      <c r="A248" s="61" t="s">
        <v>141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</row>
    <row r="250" ht="15.75" customHeight="1">
      <c r="A250" s="63" t="s">
        <v>90</v>
      </c>
      <c r="B250" s="36"/>
      <c r="C250" s="37"/>
      <c r="D250" s="64"/>
      <c r="E250" s="64"/>
      <c r="F250" s="64"/>
      <c r="G250" s="64"/>
      <c r="H250" s="64"/>
      <c r="I250" s="64"/>
      <c r="J250" s="64"/>
      <c r="K250" s="65" t="s">
        <v>91</v>
      </c>
      <c r="L250" s="66"/>
    </row>
    <row r="251" ht="15.75" customHeight="1">
      <c r="A251" s="67" t="s">
        <v>92</v>
      </c>
      <c r="B251" s="67" t="s">
        <v>93</v>
      </c>
      <c r="C251" s="67" t="s">
        <v>94</v>
      </c>
      <c r="D251" s="67" t="s">
        <v>41</v>
      </c>
      <c r="E251" s="67" t="s">
        <v>95</v>
      </c>
      <c r="F251" s="67" t="s">
        <v>96</v>
      </c>
      <c r="G251" s="67" t="s">
        <v>97</v>
      </c>
      <c r="H251" s="67" t="s">
        <v>55</v>
      </c>
      <c r="I251" s="67" t="s">
        <v>47</v>
      </c>
      <c r="J251" s="67" t="s">
        <v>98</v>
      </c>
      <c r="K251" s="68" t="s">
        <v>28</v>
      </c>
      <c r="L251" s="67" t="s">
        <v>99</v>
      </c>
    </row>
    <row r="252" ht="15.75" customHeight="1">
      <c r="A252" s="69" t="s">
        <v>100</v>
      </c>
      <c r="B252" s="70" t="s">
        <v>101</v>
      </c>
      <c r="C252" s="71"/>
      <c r="D252" s="70">
        <v>2.5</v>
      </c>
      <c r="E252" s="70"/>
      <c r="F252" s="71"/>
      <c r="G252" s="71"/>
      <c r="H252" s="71"/>
      <c r="I252" s="71"/>
      <c r="J252" s="71"/>
      <c r="K252" s="71"/>
      <c r="L252" s="71"/>
    </row>
    <row r="253" ht="15.75" customHeight="1">
      <c r="A253" s="69" t="s">
        <v>102</v>
      </c>
      <c r="B253" s="70" t="s">
        <v>103</v>
      </c>
      <c r="C253" s="71"/>
      <c r="D253" s="70">
        <v>5.0</v>
      </c>
      <c r="E253" s="70"/>
      <c r="F253" s="71"/>
      <c r="G253" s="71"/>
      <c r="H253" s="71"/>
      <c r="I253" s="71"/>
      <c r="J253" s="71"/>
      <c r="K253" s="71"/>
      <c r="L253" s="71"/>
    </row>
    <row r="254" ht="15.75" customHeight="1">
      <c r="A254" s="72" t="s">
        <v>104</v>
      </c>
      <c r="B254" s="73" t="s">
        <v>105</v>
      </c>
      <c r="C254" s="74"/>
      <c r="D254" s="73">
        <v>7.5</v>
      </c>
      <c r="E254" s="73"/>
      <c r="F254" s="74"/>
      <c r="G254" s="74"/>
      <c r="H254" s="74"/>
      <c r="I254" s="74"/>
      <c r="J254" s="74"/>
      <c r="K254" s="74"/>
      <c r="L254" s="74"/>
    </row>
    <row r="255" ht="15.75" customHeight="1">
      <c r="A255" s="75" t="s">
        <v>106</v>
      </c>
      <c r="B255" s="70" t="s">
        <v>101</v>
      </c>
      <c r="C255" s="70">
        <v>7.0</v>
      </c>
      <c r="D255" s="70">
        <v>10.0</v>
      </c>
      <c r="E255" s="70"/>
      <c r="F255" s="70"/>
      <c r="G255" s="75">
        <f t="shared" ref="G255:G256" si="43">IF(AND(D255&lt;&gt;"",E255&lt;&gt;""),D255*E255,0)</f>
        <v>0</v>
      </c>
      <c r="H255" s="76" t="str">
        <f t="shared" ref="H255:H256" si="44">IF(AND(D255&lt;&gt;"",E255&lt;&gt;""),ROUND(D255*(1+E255/30),1),"")</f>
        <v/>
      </c>
      <c r="I255" s="71"/>
      <c r="J255" s="71"/>
      <c r="K255" s="71"/>
      <c r="L255" s="71"/>
    </row>
    <row r="256" ht="15.75" customHeight="1">
      <c r="A256" s="77" t="s">
        <v>107</v>
      </c>
      <c r="B256" s="73" t="s">
        <v>101</v>
      </c>
      <c r="C256" s="73">
        <v>7.0</v>
      </c>
      <c r="D256" s="73">
        <v>10.0</v>
      </c>
      <c r="E256" s="73"/>
      <c r="F256" s="73"/>
      <c r="G256" s="77">
        <f t="shared" si="43"/>
        <v>0</v>
      </c>
      <c r="H256" s="78" t="str">
        <f t="shared" si="44"/>
        <v/>
      </c>
      <c r="I256" s="74"/>
      <c r="J256" s="74"/>
      <c r="K256" s="74"/>
      <c r="L256" s="74"/>
    </row>
    <row r="257" ht="15.75" customHeight="1">
      <c r="A257" s="79" t="s">
        <v>108</v>
      </c>
      <c r="B257" s="71"/>
      <c r="C257" s="71"/>
      <c r="D257" s="71"/>
      <c r="E257" s="71"/>
      <c r="F257" s="71"/>
      <c r="G257" s="80">
        <f>G255+G256</f>
        <v>0</v>
      </c>
      <c r="H257" s="81">
        <f>MAX(H255,H256)</f>
        <v>0</v>
      </c>
      <c r="I257" s="71"/>
      <c r="J257" s="82">
        <v>4.0</v>
      </c>
      <c r="K257" s="83" t="s">
        <v>31</v>
      </c>
      <c r="L257" s="83">
        <v>2.0</v>
      </c>
    </row>
    <row r="258" ht="15.75" customHeight="1">
      <c r="A258" s="84" t="s">
        <v>109</v>
      </c>
      <c r="B258" s="85" t="s">
        <v>110</v>
      </c>
      <c r="C258" s="86"/>
      <c r="D258" s="86"/>
      <c r="E258" s="86"/>
      <c r="F258" s="86"/>
      <c r="G258" s="86"/>
      <c r="H258" s="86"/>
      <c r="I258" s="86"/>
      <c r="J258" s="86"/>
      <c r="K258" s="86"/>
      <c r="L258" s="87"/>
    </row>
    <row r="259" ht="15.75" customHeight="1">
      <c r="A259" s="84" t="s">
        <v>111</v>
      </c>
      <c r="B259" s="85" t="s">
        <v>112</v>
      </c>
      <c r="C259" s="86"/>
      <c r="D259" s="86"/>
      <c r="E259" s="86"/>
      <c r="F259" s="86"/>
      <c r="G259" s="86"/>
      <c r="H259" s="86"/>
      <c r="I259" s="86"/>
      <c r="J259" s="86"/>
      <c r="K259" s="86"/>
      <c r="L259" s="87"/>
    </row>
    <row r="260" ht="15.7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</row>
    <row r="261" ht="15.75" customHeight="1">
      <c r="A261" s="89" t="s">
        <v>60</v>
      </c>
      <c r="B261" s="36"/>
      <c r="C261" s="37"/>
      <c r="D261" s="86"/>
      <c r="E261" s="86"/>
      <c r="F261" s="86"/>
      <c r="G261" s="86"/>
      <c r="H261" s="86"/>
      <c r="I261" s="86"/>
      <c r="J261" s="86"/>
      <c r="K261" s="90" t="s">
        <v>113</v>
      </c>
      <c r="L261" s="87"/>
    </row>
    <row r="262" ht="15.75" customHeight="1">
      <c r="A262" s="68" t="s">
        <v>92</v>
      </c>
      <c r="B262" s="68" t="s">
        <v>93</v>
      </c>
      <c r="C262" s="68" t="s">
        <v>94</v>
      </c>
      <c r="D262" s="68" t="s">
        <v>41</v>
      </c>
      <c r="E262" s="68" t="s">
        <v>95</v>
      </c>
      <c r="F262" s="68" t="s">
        <v>96</v>
      </c>
      <c r="G262" s="68" t="s">
        <v>97</v>
      </c>
      <c r="H262" s="68" t="s">
        <v>55</v>
      </c>
      <c r="I262" s="68" t="s">
        <v>47</v>
      </c>
      <c r="J262" s="68" t="s">
        <v>98</v>
      </c>
      <c r="K262" s="68" t="s">
        <v>28</v>
      </c>
      <c r="L262" s="68" t="s">
        <v>99</v>
      </c>
    </row>
    <row r="263" ht="15.75" customHeight="1">
      <c r="A263" s="69" t="s">
        <v>100</v>
      </c>
      <c r="B263" s="70" t="s">
        <v>114</v>
      </c>
      <c r="C263" s="71"/>
      <c r="D263" s="70">
        <v>16.0</v>
      </c>
      <c r="E263" s="70"/>
      <c r="F263" s="71"/>
      <c r="G263" s="71"/>
      <c r="H263" s="71"/>
      <c r="I263" s="71"/>
      <c r="J263" s="71"/>
      <c r="K263" s="71"/>
      <c r="L263" s="71"/>
    </row>
    <row r="264" ht="15.75" customHeight="1">
      <c r="A264" s="69" t="s">
        <v>102</v>
      </c>
      <c r="B264" s="70" t="s">
        <v>115</v>
      </c>
      <c r="C264" s="71"/>
      <c r="D264" s="70">
        <v>20.0</v>
      </c>
      <c r="E264" s="70"/>
      <c r="F264" s="71"/>
      <c r="G264" s="71"/>
      <c r="H264" s="71"/>
      <c r="I264" s="71"/>
      <c r="J264" s="71"/>
      <c r="K264" s="71"/>
      <c r="L264" s="71"/>
    </row>
    <row r="265" ht="15.75" customHeight="1">
      <c r="A265" s="75" t="s">
        <v>106</v>
      </c>
      <c r="B265" s="70" t="s">
        <v>101</v>
      </c>
      <c r="C265" s="70">
        <v>7.0</v>
      </c>
      <c r="D265" s="70">
        <v>25.0</v>
      </c>
      <c r="E265" s="70"/>
      <c r="F265" s="70"/>
      <c r="G265" s="75">
        <f t="shared" ref="G265:G266" si="45">IF(AND(D265&lt;&gt;"",E265&lt;&gt;""),D265*E265,0)</f>
        <v>0</v>
      </c>
      <c r="H265" s="76" t="str">
        <f t="shared" ref="H265:H266" si="46">IF(AND(D265&lt;&gt;"",E265&lt;&gt;""),ROUND(D265*(1+E265/30),1),"")</f>
        <v/>
      </c>
      <c r="I265" s="71"/>
      <c r="J265" s="71"/>
      <c r="K265" s="71"/>
      <c r="L265" s="71"/>
    </row>
    <row r="266" ht="15.75" customHeight="1">
      <c r="A266" s="75" t="s">
        <v>107</v>
      </c>
      <c r="B266" s="70" t="s">
        <v>101</v>
      </c>
      <c r="C266" s="70">
        <v>7.0</v>
      </c>
      <c r="D266" s="70">
        <v>30.0</v>
      </c>
      <c r="E266" s="70"/>
      <c r="F266" s="70"/>
      <c r="G266" s="75">
        <f t="shared" si="45"/>
        <v>0</v>
      </c>
      <c r="H266" s="76" t="str">
        <f t="shared" si="46"/>
        <v/>
      </c>
      <c r="I266" s="71"/>
      <c r="J266" s="71"/>
      <c r="K266" s="71"/>
      <c r="L266" s="71"/>
    </row>
    <row r="267" ht="15.75" customHeight="1">
      <c r="A267" s="79" t="s">
        <v>108</v>
      </c>
      <c r="B267" s="71"/>
      <c r="C267" s="71"/>
      <c r="D267" s="71"/>
      <c r="E267" s="71"/>
      <c r="F267" s="71"/>
      <c r="G267" s="80">
        <f>G265+G266</f>
        <v>0</v>
      </c>
      <c r="H267" s="81">
        <f>MAX(H265,H266)</f>
        <v>0</v>
      </c>
      <c r="I267" s="71"/>
      <c r="J267" s="82">
        <v>4.0</v>
      </c>
      <c r="K267" s="83" t="s">
        <v>34</v>
      </c>
      <c r="L267" s="83">
        <v>2.0</v>
      </c>
    </row>
    <row r="268" ht="15.75" customHeight="1">
      <c r="A268" s="91" t="s">
        <v>109</v>
      </c>
      <c r="B268" s="92" t="s">
        <v>116</v>
      </c>
      <c r="C268" s="64"/>
      <c r="D268" s="64"/>
      <c r="E268" s="64"/>
      <c r="F268" s="64"/>
      <c r="G268" s="64"/>
      <c r="H268" s="64"/>
      <c r="I268" s="64"/>
      <c r="J268" s="64"/>
      <c r="K268" s="64"/>
      <c r="L268" s="66"/>
    </row>
    <row r="269" ht="15.75" customHeight="1">
      <c r="A269" s="91" t="s">
        <v>111</v>
      </c>
      <c r="B269" s="92" t="s">
        <v>117</v>
      </c>
      <c r="C269" s="64"/>
      <c r="D269" s="64"/>
      <c r="E269" s="64"/>
      <c r="F269" s="64"/>
      <c r="G269" s="64"/>
      <c r="H269" s="64"/>
      <c r="I269" s="64"/>
      <c r="J269" s="64"/>
      <c r="K269" s="64"/>
      <c r="L269" s="66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</row>
    <row r="271" ht="15.75" customHeight="1">
      <c r="A271" s="89" t="s">
        <v>79</v>
      </c>
      <c r="B271" s="36"/>
      <c r="C271" s="37"/>
      <c r="D271" s="86"/>
      <c r="E271" s="86"/>
      <c r="F271" s="86"/>
      <c r="G271" s="86"/>
      <c r="H271" s="86"/>
      <c r="I271" s="86"/>
      <c r="J271" s="86"/>
      <c r="K271" s="90" t="s">
        <v>118</v>
      </c>
      <c r="L271" s="87"/>
    </row>
    <row r="272" ht="15.75" customHeight="1">
      <c r="A272" s="68" t="s">
        <v>92</v>
      </c>
      <c r="B272" s="68" t="s">
        <v>93</v>
      </c>
      <c r="C272" s="68" t="s">
        <v>94</v>
      </c>
      <c r="D272" s="68" t="s">
        <v>41</v>
      </c>
      <c r="E272" s="68" t="s">
        <v>95</v>
      </c>
      <c r="F272" s="68" t="s">
        <v>96</v>
      </c>
      <c r="G272" s="68" t="s">
        <v>97</v>
      </c>
      <c r="H272" s="68" t="s">
        <v>55</v>
      </c>
      <c r="I272" s="68" t="s">
        <v>47</v>
      </c>
      <c r="J272" s="68" t="s">
        <v>98</v>
      </c>
      <c r="K272" s="68" t="s">
        <v>28</v>
      </c>
      <c r="L272" s="68" t="s">
        <v>99</v>
      </c>
    </row>
    <row r="273" ht="15.75" customHeight="1">
      <c r="A273" s="69" t="s">
        <v>100</v>
      </c>
      <c r="B273" s="70" t="s">
        <v>101</v>
      </c>
      <c r="C273" s="71"/>
      <c r="D273" s="70">
        <v>3.0</v>
      </c>
      <c r="E273" s="70"/>
      <c r="F273" s="71"/>
      <c r="G273" s="71"/>
      <c r="H273" s="71"/>
      <c r="I273" s="71"/>
      <c r="J273" s="71"/>
      <c r="K273" s="71"/>
      <c r="L273" s="71"/>
    </row>
    <row r="274" ht="15.75" customHeight="1">
      <c r="A274" s="69" t="s">
        <v>102</v>
      </c>
      <c r="B274" s="93">
        <v>45783.0</v>
      </c>
      <c r="C274" s="71"/>
      <c r="D274" s="70">
        <v>5.0</v>
      </c>
      <c r="E274" s="70"/>
      <c r="F274" s="71"/>
      <c r="G274" s="71"/>
      <c r="H274" s="71"/>
      <c r="I274" s="71"/>
      <c r="J274" s="71"/>
      <c r="K274" s="71"/>
      <c r="L274" s="71"/>
    </row>
    <row r="275" ht="15.75" customHeight="1">
      <c r="A275" s="69" t="s">
        <v>104</v>
      </c>
      <c r="B275" s="93">
        <v>45720.0</v>
      </c>
      <c r="C275" s="71"/>
      <c r="D275" s="71"/>
      <c r="E275" s="71"/>
      <c r="F275" s="71"/>
      <c r="G275" s="71"/>
      <c r="H275" s="71"/>
      <c r="I275" s="71"/>
      <c r="J275" s="71"/>
      <c r="K275" s="71"/>
      <c r="L275" s="71"/>
    </row>
    <row r="276" ht="15.75" customHeight="1">
      <c r="A276" s="77" t="s">
        <v>106</v>
      </c>
      <c r="B276" s="73" t="s">
        <v>114</v>
      </c>
      <c r="C276" s="73">
        <v>7.0</v>
      </c>
      <c r="D276" s="73">
        <v>7.5</v>
      </c>
      <c r="E276" s="73"/>
      <c r="F276" s="73"/>
      <c r="G276" s="77">
        <f t="shared" ref="G276:G277" si="47">IF(AND(D276&lt;&gt;"",E276&lt;&gt;""),D276*E276,0)</f>
        <v>0</v>
      </c>
      <c r="H276" s="78" t="str">
        <f t="shared" ref="H276:H277" si="48">IF(AND(D276&lt;&gt;"",E276&lt;&gt;""),ROUND(D276*(1+E276/30),1),"")</f>
        <v/>
      </c>
      <c r="I276" s="74"/>
      <c r="J276" s="74"/>
      <c r="K276" s="74"/>
      <c r="L276" s="74"/>
    </row>
    <row r="277" ht="15.75" customHeight="1">
      <c r="A277" s="75" t="s">
        <v>107</v>
      </c>
      <c r="B277" s="70" t="s">
        <v>114</v>
      </c>
      <c r="C277" s="70">
        <v>7.0</v>
      </c>
      <c r="D277" s="70">
        <v>7.5</v>
      </c>
      <c r="E277" s="70"/>
      <c r="F277" s="71"/>
      <c r="G277" s="75">
        <f t="shared" si="47"/>
        <v>0</v>
      </c>
      <c r="H277" s="76" t="str">
        <f t="shared" si="48"/>
        <v/>
      </c>
      <c r="I277" s="71"/>
      <c r="J277" s="71"/>
      <c r="K277" s="71"/>
      <c r="L277" s="71"/>
    </row>
    <row r="278" ht="15.75" customHeight="1">
      <c r="A278" s="94" t="s">
        <v>108</v>
      </c>
      <c r="B278" s="74"/>
      <c r="C278" s="74"/>
      <c r="D278" s="74"/>
      <c r="E278" s="74"/>
      <c r="F278" s="74"/>
      <c r="G278" s="95">
        <f>G276+G277</f>
        <v>0</v>
      </c>
      <c r="H278" s="96">
        <f>MAX(H276,H277)</f>
        <v>0</v>
      </c>
      <c r="I278" s="74"/>
      <c r="J278" s="82">
        <v>4.0</v>
      </c>
      <c r="K278" s="97" t="s">
        <v>32</v>
      </c>
      <c r="L278" s="97">
        <v>2.0</v>
      </c>
    </row>
    <row r="279" ht="15.75" customHeight="1">
      <c r="A279" s="84" t="s">
        <v>109</v>
      </c>
      <c r="B279" s="85" t="s">
        <v>119</v>
      </c>
      <c r="C279" s="86"/>
      <c r="D279" s="86"/>
      <c r="E279" s="86"/>
      <c r="F279" s="86"/>
      <c r="G279" s="86"/>
      <c r="H279" s="86"/>
      <c r="I279" s="86"/>
      <c r="J279" s="86"/>
      <c r="K279" s="86"/>
      <c r="L279" s="87"/>
    </row>
    <row r="280" ht="15.75" customHeight="1">
      <c r="A280" s="84" t="s">
        <v>111</v>
      </c>
      <c r="B280" s="85" t="s">
        <v>120</v>
      </c>
      <c r="C280" s="86"/>
      <c r="D280" s="86"/>
      <c r="E280" s="86"/>
      <c r="F280" s="86"/>
      <c r="G280" s="86"/>
      <c r="H280" s="86"/>
      <c r="I280" s="86"/>
      <c r="J280" s="86"/>
      <c r="K280" s="86"/>
      <c r="L280" s="87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</row>
    <row r="282" ht="15.75" customHeight="1">
      <c r="A282" s="89" t="s">
        <v>81</v>
      </c>
      <c r="B282" s="36"/>
      <c r="C282" s="37"/>
      <c r="D282" s="86"/>
      <c r="E282" s="86"/>
      <c r="F282" s="86"/>
      <c r="G282" s="86"/>
      <c r="H282" s="86"/>
      <c r="I282" s="86"/>
      <c r="J282" s="86"/>
      <c r="K282" s="90" t="s">
        <v>121</v>
      </c>
      <c r="L282" s="87"/>
    </row>
    <row r="283" ht="15.75" customHeight="1">
      <c r="A283" s="68" t="s">
        <v>92</v>
      </c>
      <c r="B283" s="68" t="s">
        <v>93</v>
      </c>
      <c r="C283" s="68" t="s">
        <v>94</v>
      </c>
      <c r="D283" s="68" t="s">
        <v>41</v>
      </c>
      <c r="E283" s="68" t="s">
        <v>95</v>
      </c>
      <c r="F283" s="68" t="s">
        <v>96</v>
      </c>
      <c r="G283" s="68" t="s">
        <v>97</v>
      </c>
      <c r="H283" s="68" t="s">
        <v>55</v>
      </c>
      <c r="I283" s="68" t="s">
        <v>47</v>
      </c>
      <c r="J283" s="68" t="s">
        <v>98</v>
      </c>
      <c r="K283" s="68" t="s">
        <v>28</v>
      </c>
      <c r="L283" s="68" t="s">
        <v>99</v>
      </c>
    </row>
    <row r="284" ht="15.75" customHeight="1">
      <c r="A284" s="69" t="s">
        <v>100</v>
      </c>
      <c r="B284" s="70" t="s">
        <v>101</v>
      </c>
      <c r="C284" s="71"/>
      <c r="D284" s="70">
        <v>15.0</v>
      </c>
      <c r="E284" s="71"/>
      <c r="F284" s="71"/>
      <c r="G284" s="71"/>
      <c r="H284" s="71"/>
      <c r="I284" s="71"/>
      <c r="J284" s="71"/>
      <c r="K284" s="71"/>
      <c r="L284" s="71"/>
    </row>
    <row r="285" ht="15.75" customHeight="1">
      <c r="A285" s="69" t="s">
        <v>102</v>
      </c>
      <c r="B285" s="93">
        <v>45783.0</v>
      </c>
      <c r="C285" s="71"/>
      <c r="D285" s="70">
        <v>25.0</v>
      </c>
      <c r="E285" s="71"/>
      <c r="F285" s="71"/>
      <c r="G285" s="71"/>
      <c r="H285" s="71"/>
      <c r="I285" s="71"/>
      <c r="J285" s="71"/>
      <c r="K285" s="71"/>
      <c r="L285" s="71"/>
    </row>
    <row r="286" ht="15.75" customHeight="1">
      <c r="A286" s="69" t="s">
        <v>104</v>
      </c>
      <c r="B286" s="93">
        <v>45720.0</v>
      </c>
      <c r="C286" s="71"/>
      <c r="D286" s="71"/>
      <c r="E286" s="71"/>
      <c r="F286" s="71"/>
      <c r="G286" s="71"/>
      <c r="H286" s="71"/>
      <c r="I286" s="71"/>
      <c r="J286" s="71"/>
      <c r="K286" s="71"/>
      <c r="L286" s="71"/>
    </row>
    <row r="287" ht="15.75" customHeight="1">
      <c r="A287" s="77" t="s">
        <v>106</v>
      </c>
      <c r="B287" s="73" t="s">
        <v>101</v>
      </c>
      <c r="C287" s="73">
        <v>7.0</v>
      </c>
      <c r="D287" s="73">
        <v>35.0</v>
      </c>
      <c r="E287" s="73"/>
      <c r="F287" s="73"/>
      <c r="G287" s="77">
        <f t="shared" ref="G287:G288" si="49">IF(AND(D287&lt;&gt;"",E287&lt;&gt;""),D287*E287,0)</f>
        <v>0</v>
      </c>
      <c r="H287" s="78" t="str">
        <f t="shared" ref="H287:H288" si="50">IF(AND(D287&lt;&gt;"",E287&lt;&gt;""),ROUND(D287*(1+E287/30),1),"")</f>
        <v/>
      </c>
      <c r="I287" s="74"/>
      <c r="J287" s="74"/>
      <c r="K287" s="74"/>
      <c r="L287" s="74"/>
    </row>
    <row r="288" ht="15.75" customHeight="1">
      <c r="A288" s="75" t="s">
        <v>107</v>
      </c>
      <c r="B288" s="70" t="s">
        <v>101</v>
      </c>
      <c r="C288" s="70">
        <v>7.0</v>
      </c>
      <c r="D288" s="70">
        <v>35.0</v>
      </c>
      <c r="E288" s="70"/>
      <c r="F288" s="70"/>
      <c r="G288" s="75">
        <f t="shared" si="49"/>
        <v>0</v>
      </c>
      <c r="H288" s="76" t="str">
        <f t="shared" si="50"/>
        <v/>
      </c>
      <c r="I288" s="71"/>
      <c r="J288" s="71"/>
      <c r="K288" s="71"/>
      <c r="L288" s="71"/>
    </row>
    <row r="289" ht="15.75" customHeight="1">
      <c r="A289" s="79" t="s">
        <v>108</v>
      </c>
      <c r="B289" s="71"/>
      <c r="C289" s="71"/>
      <c r="D289" s="71"/>
      <c r="E289" s="71"/>
      <c r="F289" s="71"/>
      <c r="G289" s="80">
        <f>G287+G288</f>
        <v>0</v>
      </c>
      <c r="H289" s="81">
        <f>MAX(H287,H288)</f>
        <v>0</v>
      </c>
      <c r="I289" s="71"/>
      <c r="J289" s="82">
        <v>4.0</v>
      </c>
      <c r="K289" s="83" t="s">
        <v>34</v>
      </c>
      <c r="L289" s="83">
        <v>2.0</v>
      </c>
    </row>
    <row r="290" ht="15.75" customHeight="1">
      <c r="A290" s="84" t="s">
        <v>109</v>
      </c>
      <c r="B290" s="85" t="s">
        <v>122</v>
      </c>
      <c r="C290" s="86"/>
      <c r="D290" s="86"/>
      <c r="E290" s="86"/>
      <c r="F290" s="86"/>
      <c r="G290" s="86"/>
      <c r="H290" s="86"/>
      <c r="I290" s="86"/>
      <c r="J290" s="86"/>
      <c r="K290" s="86"/>
      <c r="L290" s="87"/>
    </row>
    <row r="291" ht="15.75" customHeight="1">
      <c r="A291" s="84" t="s">
        <v>111</v>
      </c>
      <c r="B291" s="85" t="s">
        <v>123</v>
      </c>
      <c r="C291" s="86"/>
      <c r="D291" s="86"/>
      <c r="E291" s="86"/>
      <c r="F291" s="86"/>
      <c r="G291" s="86"/>
      <c r="H291" s="86"/>
      <c r="I291" s="86"/>
      <c r="J291" s="86"/>
      <c r="K291" s="86"/>
      <c r="L291" s="87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</row>
    <row r="293" ht="15.75" customHeight="1">
      <c r="A293" s="89" t="s">
        <v>124</v>
      </c>
      <c r="B293" s="36"/>
      <c r="C293" s="37"/>
      <c r="D293" s="62"/>
      <c r="E293" s="62"/>
      <c r="F293" s="62"/>
      <c r="G293" s="62"/>
      <c r="H293" s="62"/>
      <c r="I293" s="62"/>
      <c r="J293" s="62"/>
      <c r="K293" s="62" t="s">
        <v>125</v>
      </c>
      <c r="L293" s="62"/>
    </row>
    <row r="294" ht="15.75" customHeight="1">
      <c r="A294" s="68" t="s">
        <v>92</v>
      </c>
      <c r="B294" s="68" t="s">
        <v>93</v>
      </c>
      <c r="C294" s="68" t="s">
        <v>94</v>
      </c>
      <c r="D294" s="68" t="s">
        <v>41</v>
      </c>
      <c r="E294" s="68" t="s">
        <v>95</v>
      </c>
      <c r="F294" s="68" t="s">
        <v>96</v>
      </c>
      <c r="G294" s="68" t="s">
        <v>97</v>
      </c>
      <c r="H294" s="68" t="s">
        <v>55</v>
      </c>
      <c r="I294" s="68" t="s">
        <v>47</v>
      </c>
      <c r="J294" s="68" t="s">
        <v>98</v>
      </c>
      <c r="K294" s="98"/>
      <c r="L294" s="68" t="s">
        <v>99</v>
      </c>
    </row>
    <row r="295" ht="15.75" customHeight="1">
      <c r="A295" s="69" t="s">
        <v>100</v>
      </c>
      <c r="B295" s="70" t="s">
        <v>101</v>
      </c>
      <c r="C295" s="71"/>
      <c r="D295" s="70">
        <v>2.0</v>
      </c>
      <c r="E295" s="70"/>
      <c r="F295" s="71"/>
      <c r="G295" s="71"/>
      <c r="H295" s="71"/>
      <c r="I295" s="71"/>
      <c r="J295" s="71"/>
      <c r="K295" s="71"/>
      <c r="L295" s="71"/>
    </row>
    <row r="296" ht="15.75" customHeight="1">
      <c r="A296" s="72" t="s">
        <v>102</v>
      </c>
      <c r="B296" s="93">
        <v>45783.0</v>
      </c>
      <c r="C296" s="74"/>
      <c r="D296" s="73">
        <v>4.0</v>
      </c>
      <c r="E296" s="73"/>
      <c r="F296" s="74"/>
      <c r="G296" s="74"/>
      <c r="H296" s="74"/>
      <c r="I296" s="74"/>
      <c r="J296" s="74"/>
      <c r="K296" s="74"/>
      <c r="L296" s="74"/>
    </row>
    <row r="297" ht="15.75" customHeight="1">
      <c r="A297" s="75" t="s">
        <v>106</v>
      </c>
      <c r="B297" s="70" t="s">
        <v>114</v>
      </c>
      <c r="C297" s="70">
        <v>7.0</v>
      </c>
      <c r="D297" s="70">
        <v>5.0</v>
      </c>
      <c r="E297" s="70"/>
      <c r="F297" s="70"/>
      <c r="G297" s="75">
        <f t="shared" ref="G297:G298" si="51">IF(AND(D297&lt;&gt;"",E297&lt;&gt;""),D297*E297,0)</f>
        <v>0</v>
      </c>
      <c r="H297" s="76" t="str">
        <f t="shared" ref="H297:H298" si="52">IF(AND(D297&lt;&gt;"",E297&lt;&gt;""),ROUND(D297*(1+E297/30),1),"")</f>
        <v/>
      </c>
      <c r="I297" s="71"/>
      <c r="J297" s="71"/>
      <c r="K297" s="71"/>
      <c r="L297" s="71"/>
    </row>
    <row r="298" ht="15.75" customHeight="1">
      <c r="A298" s="75" t="s">
        <v>107</v>
      </c>
      <c r="B298" s="70" t="s">
        <v>114</v>
      </c>
      <c r="C298" s="70">
        <v>7.0</v>
      </c>
      <c r="D298" s="70">
        <v>5.0</v>
      </c>
      <c r="E298" s="70"/>
      <c r="F298" s="70"/>
      <c r="G298" s="75">
        <f t="shared" si="51"/>
        <v>0</v>
      </c>
      <c r="H298" s="76" t="str">
        <f t="shared" si="52"/>
        <v/>
      </c>
      <c r="I298" s="71"/>
      <c r="J298" s="71"/>
      <c r="K298" s="71"/>
      <c r="L298" s="71"/>
    </row>
    <row r="299" ht="15.75" customHeight="1">
      <c r="A299" s="79" t="s">
        <v>108</v>
      </c>
      <c r="B299" s="71"/>
      <c r="C299" s="71"/>
      <c r="D299" s="71"/>
      <c r="E299" s="71"/>
      <c r="F299" s="71"/>
      <c r="G299" s="80">
        <f>G297+G298</f>
        <v>0</v>
      </c>
      <c r="H299" s="81">
        <f>MAX(H297,H298)</f>
        <v>0</v>
      </c>
      <c r="I299" s="71"/>
      <c r="J299" s="82">
        <v>4.0</v>
      </c>
      <c r="K299" s="83" t="s">
        <v>31</v>
      </c>
      <c r="L299" s="83">
        <v>2.0</v>
      </c>
    </row>
    <row r="300" ht="15.75" customHeight="1">
      <c r="A300" s="84" t="s">
        <v>109</v>
      </c>
      <c r="B300" s="85" t="s">
        <v>126</v>
      </c>
      <c r="C300" s="86"/>
      <c r="D300" s="86"/>
      <c r="E300" s="86"/>
      <c r="F300" s="86"/>
      <c r="G300" s="86"/>
      <c r="H300" s="86"/>
      <c r="I300" s="86"/>
      <c r="J300" s="86"/>
      <c r="K300" s="86"/>
      <c r="L300" s="87"/>
    </row>
    <row r="301" ht="15.75" customHeight="1">
      <c r="A301" s="84" t="s">
        <v>111</v>
      </c>
      <c r="B301" s="85" t="s">
        <v>127</v>
      </c>
      <c r="C301" s="86"/>
      <c r="D301" s="86"/>
      <c r="E301" s="86"/>
      <c r="F301" s="86"/>
      <c r="G301" s="86"/>
      <c r="H301" s="86"/>
      <c r="I301" s="86"/>
      <c r="J301" s="86"/>
      <c r="K301" s="86"/>
      <c r="L301" s="87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</row>
    <row r="303" ht="15.75" customHeight="1">
      <c r="A303" s="89" t="s">
        <v>85</v>
      </c>
      <c r="B303" s="99"/>
      <c r="C303" s="100"/>
      <c r="D303" s="86"/>
      <c r="E303" s="86"/>
      <c r="F303" s="86"/>
      <c r="G303" s="86"/>
      <c r="H303" s="86"/>
      <c r="I303" s="86"/>
      <c r="J303" s="86"/>
      <c r="K303" s="101" t="s">
        <v>128</v>
      </c>
      <c r="L303" s="87"/>
    </row>
    <row r="304" ht="15.75" customHeight="1">
      <c r="A304" s="68" t="s">
        <v>92</v>
      </c>
      <c r="B304" s="68" t="s">
        <v>93</v>
      </c>
      <c r="C304" s="68" t="s">
        <v>94</v>
      </c>
      <c r="D304" s="68" t="s">
        <v>41</v>
      </c>
      <c r="E304" s="68" t="s">
        <v>95</v>
      </c>
      <c r="F304" s="68" t="s">
        <v>96</v>
      </c>
      <c r="G304" s="68" t="s">
        <v>97</v>
      </c>
      <c r="H304" s="68" t="s">
        <v>55</v>
      </c>
      <c r="I304" s="68" t="s">
        <v>47</v>
      </c>
      <c r="J304" s="68" t="s">
        <v>98</v>
      </c>
      <c r="K304" s="98"/>
      <c r="L304" s="68" t="s">
        <v>99</v>
      </c>
    </row>
    <row r="305" ht="15.75" customHeight="1">
      <c r="A305" s="72" t="s">
        <v>100</v>
      </c>
      <c r="B305" s="73" t="s">
        <v>101</v>
      </c>
      <c r="C305" s="74"/>
      <c r="D305" s="73">
        <v>11.0</v>
      </c>
      <c r="E305" s="73"/>
      <c r="F305" s="74"/>
      <c r="G305" s="74"/>
      <c r="H305" s="74"/>
      <c r="I305" s="74"/>
      <c r="J305" s="74"/>
      <c r="K305" s="74"/>
      <c r="L305" s="74"/>
    </row>
    <row r="306" ht="15.75" customHeight="1">
      <c r="A306" s="77" t="s">
        <v>106</v>
      </c>
      <c r="B306" s="73" t="s">
        <v>114</v>
      </c>
      <c r="C306" s="73">
        <v>7.0</v>
      </c>
      <c r="D306" s="73">
        <v>25.0</v>
      </c>
      <c r="E306" s="73"/>
      <c r="F306" s="74"/>
      <c r="G306" s="77">
        <f t="shared" ref="G306:G307" si="53">IF(AND(D306&lt;&gt;"",E306&lt;&gt;""),D306*E306,0)</f>
        <v>0</v>
      </c>
      <c r="H306" s="78" t="str">
        <f t="shared" ref="H306:H307" si="54">IF(AND(D306&lt;&gt;"",E306&lt;&gt;""),ROUND(D306*(1+E306/30),1),"")</f>
        <v/>
      </c>
      <c r="I306" s="74"/>
      <c r="J306" s="74"/>
      <c r="K306" s="74"/>
      <c r="L306" s="74"/>
    </row>
    <row r="307" ht="15.75" customHeight="1">
      <c r="A307" s="77" t="s">
        <v>107</v>
      </c>
      <c r="B307" s="73" t="s">
        <v>114</v>
      </c>
      <c r="C307" s="73">
        <v>7.0</v>
      </c>
      <c r="D307" s="73">
        <v>25.0</v>
      </c>
      <c r="E307" s="73"/>
      <c r="F307" s="74"/>
      <c r="G307" s="77">
        <f t="shared" si="53"/>
        <v>0</v>
      </c>
      <c r="H307" s="78" t="str">
        <f t="shared" si="54"/>
        <v/>
      </c>
      <c r="I307" s="74"/>
      <c r="J307" s="74"/>
      <c r="K307" s="74"/>
      <c r="L307" s="74"/>
    </row>
    <row r="308" ht="15.75" customHeight="1">
      <c r="A308" s="94" t="s">
        <v>108</v>
      </c>
      <c r="B308" s="74"/>
      <c r="C308" s="74"/>
      <c r="D308" s="74"/>
      <c r="E308" s="74"/>
      <c r="F308" s="74"/>
      <c r="G308" s="95">
        <f>G306+G307</f>
        <v>0</v>
      </c>
      <c r="H308" s="96">
        <f>MAX(H306,H307)</f>
        <v>0</v>
      </c>
      <c r="I308" s="74"/>
      <c r="J308" s="82">
        <v>4.0</v>
      </c>
      <c r="K308" s="97" t="s">
        <v>36</v>
      </c>
      <c r="L308" s="97">
        <v>2.0</v>
      </c>
    </row>
    <row r="309" ht="15.75" customHeight="1">
      <c r="A309" s="91" t="s">
        <v>109</v>
      </c>
      <c r="B309" s="92" t="s">
        <v>129</v>
      </c>
      <c r="C309" s="64"/>
      <c r="D309" s="64"/>
      <c r="E309" s="64"/>
      <c r="F309" s="64"/>
      <c r="G309" s="64"/>
      <c r="H309" s="64"/>
      <c r="I309" s="64"/>
      <c r="J309" s="64"/>
      <c r="K309" s="64"/>
      <c r="L309" s="66"/>
    </row>
    <row r="310" ht="15.75" customHeight="1">
      <c r="A310" s="91" t="s">
        <v>111</v>
      </c>
      <c r="B310" s="92" t="s">
        <v>130</v>
      </c>
      <c r="C310" s="64"/>
      <c r="D310" s="64"/>
      <c r="E310" s="64"/>
      <c r="F310" s="64"/>
      <c r="G310" s="64"/>
      <c r="H310" s="64"/>
      <c r="I310" s="64"/>
      <c r="J310" s="64"/>
      <c r="K310" s="64"/>
      <c r="L310" s="66"/>
    </row>
    <row r="311" ht="15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</row>
    <row r="312" ht="15.75" customHeight="1">
      <c r="A312" s="63" t="s">
        <v>131</v>
      </c>
      <c r="B312" s="36"/>
      <c r="C312" s="37"/>
      <c r="D312" s="64"/>
      <c r="E312" s="64"/>
      <c r="F312" s="64"/>
      <c r="G312" s="64"/>
      <c r="H312" s="64"/>
      <c r="I312" s="64"/>
      <c r="J312" s="64"/>
      <c r="K312" s="102" t="s">
        <v>132</v>
      </c>
      <c r="L312" s="66"/>
    </row>
    <row r="313" ht="15.75" customHeight="1">
      <c r="A313" s="67" t="s">
        <v>92</v>
      </c>
      <c r="B313" s="67" t="s">
        <v>93</v>
      </c>
      <c r="C313" s="67" t="s">
        <v>94</v>
      </c>
      <c r="D313" s="67" t="s">
        <v>41</v>
      </c>
      <c r="E313" s="67" t="s">
        <v>95</v>
      </c>
      <c r="F313" s="67" t="s">
        <v>96</v>
      </c>
      <c r="G313" s="67" t="s">
        <v>97</v>
      </c>
      <c r="H313" s="67" t="s">
        <v>55</v>
      </c>
      <c r="I313" s="67" t="s">
        <v>47</v>
      </c>
      <c r="J313" s="67" t="s">
        <v>98</v>
      </c>
      <c r="K313" s="103"/>
      <c r="L313" s="67" t="s">
        <v>99</v>
      </c>
    </row>
    <row r="314" ht="15.75" customHeight="1">
      <c r="A314" s="72" t="s">
        <v>100</v>
      </c>
      <c r="B314" s="73" t="s">
        <v>101</v>
      </c>
      <c r="C314" s="74"/>
      <c r="D314" s="73">
        <v>5.0</v>
      </c>
      <c r="E314" s="73"/>
      <c r="F314" s="74"/>
      <c r="G314" s="104"/>
      <c r="H314" s="105"/>
      <c r="I314" s="74"/>
      <c r="J314" s="74"/>
      <c r="K314" s="74"/>
      <c r="L314" s="74"/>
    </row>
    <row r="315" ht="15.75" customHeight="1">
      <c r="A315" s="77" t="s">
        <v>106</v>
      </c>
      <c r="B315" s="73">
        <v>12.0</v>
      </c>
      <c r="C315" s="73">
        <v>8.0</v>
      </c>
      <c r="D315" s="73">
        <v>11.0</v>
      </c>
      <c r="E315" s="73"/>
      <c r="F315" s="73"/>
      <c r="G315" s="77">
        <f t="shared" ref="G315:G316" si="55">IF(AND(D315&lt;&gt;"",E315&lt;&gt;""),D315*E315,0)</f>
        <v>0</v>
      </c>
      <c r="H315" s="78" t="str">
        <f t="shared" ref="H315:H316" si="56">IF(AND(D315&lt;&gt;"",E315&lt;&gt;""),ROUND(D315*(1+E315/30),1),"")</f>
        <v/>
      </c>
      <c r="I315" s="74"/>
      <c r="J315" s="74"/>
      <c r="K315" s="74"/>
      <c r="L315" s="74"/>
    </row>
    <row r="316" ht="15.75" customHeight="1">
      <c r="A316" s="77" t="s">
        <v>107</v>
      </c>
      <c r="B316" s="73">
        <v>12.0</v>
      </c>
      <c r="C316" s="73">
        <v>8.0</v>
      </c>
      <c r="D316" s="73">
        <v>11.0</v>
      </c>
      <c r="E316" s="73"/>
      <c r="F316" s="73"/>
      <c r="G316" s="77">
        <f t="shared" si="55"/>
        <v>0</v>
      </c>
      <c r="H316" s="78" t="str">
        <f t="shared" si="56"/>
        <v/>
      </c>
      <c r="I316" s="74"/>
      <c r="J316" s="74"/>
      <c r="K316" s="88"/>
      <c r="L316" s="74"/>
    </row>
    <row r="317" ht="15.75" customHeight="1">
      <c r="A317" s="94" t="s">
        <v>108</v>
      </c>
      <c r="B317" s="74"/>
      <c r="C317" s="74"/>
      <c r="D317" s="74"/>
      <c r="E317" s="74"/>
      <c r="F317" s="74"/>
      <c r="G317" s="95">
        <f>G315+G316</f>
        <v>0</v>
      </c>
      <c r="H317" s="96">
        <f>MAX(H313,H316)</f>
        <v>0</v>
      </c>
      <c r="I317" s="74"/>
      <c r="J317" s="82">
        <v>4.0</v>
      </c>
      <c r="K317" s="82" t="s">
        <v>33</v>
      </c>
      <c r="L317" s="97">
        <v>2.0</v>
      </c>
    </row>
    <row r="318" ht="15.75" customHeight="1">
      <c r="A318" s="91" t="s">
        <v>109</v>
      </c>
      <c r="B318" s="74"/>
      <c r="C318" s="64"/>
      <c r="D318" s="64"/>
      <c r="E318" s="64"/>
      <c r="F318" s="64"/>
      <c r="G318" s="64"/>
      <c r="H318" s="64"/>
      <c r="I318" s="64"/>
      <c r="J318" s="64"/>
      <c r="K318" s="64"/>
      <c r="L318" s="66"/>
    </row>
    <row r="319" ht="15.75" customHeight="1">
      <c r="A319" s="91" t="s">
        <v>111</v>
      </c>
      <c r="B319" s="74"/>
      <c r="C319" s="64"/>
      <c r="D319" s="64"/>
      <c r="E319" s="64"/>
      <c r="F319" s="64"/>
      <c r="G319" s="64"/>
      <c r="H319" s="64"/>
      <c r="I319" s="64"/>
      <c r="J319" s="64"/>
      <c r="K319" s="64"/>
      <c r="L319" s="66"/>
    </row>
    <row r="320" ht="15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</row>
    <row r="321" ht="15.75" customHeight="1">
      <c r="A321" s="106" t="s">
        <v>133</v>
      </c>
      <c r="B321" s="36"/>
      <c r="C321" s="37"/>
      <c r="D321" s="64"/>
      <c r="E321" s="64"/>
      <c r="F321" s="64"/>
      <c r="G321" s="64"/>
      <c r="H321" s="64"/>
      <c r="I321" s="64"/>
      <c r="J321" s="64"/>
      <c r="K321" s="64"/>
      <c r="L321" s="66"/>
    </row>
    <row r="322" ht="15.75" customHeight="1">
      <c r="A322" s="91" t="s">
        <v>134</v>
      </c>
      <c r="B322" s="74"/>
      <c r="C322" s="74"/>
      <c r="D322" s="74"/>
      <c r="E322" s="74"/>
      <c r="F322" s="74"/>
      <c r="G322" s="95">
        <f>SUMIF(J:J,4,G:G)</f>
        <v>0</v>
      </c>
      <c r="H322" s="74"/>
      <c r="I322" s="91" t="s">
        <v>135</v>
      </c>
      <c r="J322" s="74"/>
      <c r="K322" s="74"/>
      <c r="L322" s="107">
        <f>SUMIF(J:J,4,L:L)</f>
        <v>14</v>
      </c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42">
    <mergeCell ref="A1:L1"/>
    <mergeCell ref="A3:L4"/>
    <mergeCell ref="C6:F6"/>
    <mergeCell ref="C7:F7"/>
    <mergeCell ref="C8:F8"/>
    <mergeCell ref="C9:F9"/>
    <mergeCell ref="C10:F10"/>
    <mergeCell ref="C11:F11"/>
    <mergeCell ref="C12:F12"/>
    <mergeCell ref="C13:F13"/>
    <mergeCell ref="A16:L16"/>
    <mergeCell ref="A18:C18"/>
    <mergeCell ref="A29:C29"/>
    <mergeCell ref="A39:C39"/>
    <mergeCell ref="A50:C50"/>
    <mergeCell ref="A61:C61"/>
    <mergeCell ref="A80:C80"/>
    <mergeCell ref="A90:C90"/>
    <mergeCell ref="A96:L96"/>
    <mergeCell ref="A98:C98"/>
    <mergeCell ref="A109:C109"/>
    <mergeCell ref="A119:C119"/>
    <mergeCell ref="A130:C130"/>
    <mergeCell ref="A141:C141"/>
    <mergeCell ref="A160:C160"/>
    <mergeCell ref="A169:C169"/>
    <mergeCell ref="A172:L172"/>
    <mergeCell ref="A174:C174"/>
    <mergeCell ref="A250:C250"/>
    <mergeCell ref="A261:C261"/>
    <mergeCell ref="A271:C271"/>
    <mergeCell ref="A282:C282"/>
    <mergeCell ref="A293:C293"/>
    <mergeCell ref="A312:C312"/>
    <mergeCell ref="A321:C321"/>
    <mergeCell ref="A185:C185"/>
    <mergeCell ref="A195:C195"/>
    <mergeCell ref="A206:C206"/>
    <mergeCell ref="A217:C217"/>
    <mergeCell ref="A236:C236"/>
    <mergeCell ref="A245:C245"/>
    <mergeCell ref="A248:L248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8" width="12.0"/>
    <col customWidth="1" min="9" max="9" width="30.0"/>
    <col customWidth="1" min="10" max="10" width="10.0"/>
    <col customWidth="1" min="11" max="11" width="25.0"/>
    <col customWidth="1" min="12" max="12" width="10.0"/>
    <col customWidth="1" min="13" max="26" width="14.38"/>
  </cols>
  <sheetData>
    <row r="1" ht="30.0" customHeight="1">
      <c r="A1" s="27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ht="24.75" customHeight="1">
      <c r="A3" s="28" t="s">
        <v>72</v>
      </c>
    </row>
    <row r="6">
      <c r="A6" s="29" t="s">
        <v>53</v>
      </c>
      <c r="B6" s="29" t="s">
        <v>73</v>
      </c>
      <c r="C6" s="30" t="s">
        <v>74</v>
      </c>
      <c r="D6" s="2"/>
      <c r="E6" s="2"/>
      <c r="F6" s="2"/>
    </row>
    <row r="7">
      <c r="A7" s="24" t="s">
        <v>143</v>
      </c>
      <c r="B7" s="31" t="s">
        <v>75</v>
      </c>
      <c r="C7" s="32" t="s">
        <v>144</v>
      </c>
    </row>
    <row r="8">
      <c r="A8" s="24" t="s">
        <v>145</v>
      </c>
      <c r="B8" s="33" t="s">
        <v>77</v>
      </c>
      <c r="C8" s="32" t="s">
        <v>146</v>
      </c>
    </row>
    <row r="9">
      <c r="A9" s="24" t="s">
        <v>147</v>
      </c>
      <c r="B9" s="31" t="s">
        <v>75</v>
      </c>
      <c r="C9" s="32" t="s">
        <v>148</v>
      </c>
    </row>
    <row r="10">
      <c r="A10" s="24" t="s">
        <v>149</v>
      </c>
      <c r="B10" s="33" t="s">
        <v>77</v>
      </c>
      <c r="C10" s="32" t="s">
        <v>150</v>
      </c>
    </row>
    <row r="11">
      <c r="A11" s="24" t="s">
        <v>151</v>
      </c>
      <c r="B11" s="31" t="s">
        <v>75</v>
      </c>
      <c r="C11" s="32" t="s">
        <v>152</v>
      </c>
    </row>
    <row r="12">
      <c r="A12" s="24" t="s">
        <v>153</v>
      </c>
      <c r="B12" s="33" t="s">
        <v>77</v>
      </c>
      <c r="C12" s="32" t="s">
        <v>154</v>
      </c>
    </row>
    <row r="13">
      <c r="A13" s="24" t="s">
        <v>155</v>
      </c>
      <c r="B13" s="33" t="s">
        <v>87</v>
      </c>
      <c r="C13" s="32" t="s">
        <v>156</v>
      </c>
    </row>
    <row r="16" ht="21.75" customHeight="1">
      <c r="A16" s="34" t="s">
        <v>89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8">
      <c r="A18" s="44" t="s">
        <v>143</v>
      </c>
      <c r="B18" s="36"/>
      <c r="C18" s="37"/>
      <c r="D18" s="38"/>
      <c r="E18" s="38"/>
      <c r="F18" s="38"/>
      <c r="G18" s="38"/>
      <c r="H18" s="38"/>
      <c r="I18" s="38"/>
      <c r="J18" s="38"/>
      <c r="K18" s="39" t="s">
        <v>157</v>
      </c>
      <c r="L18" s="40"/>
    </row>
    <row r="19">
      <c r="A19" s="4" t="s">
        <v>92</v>
      </c>
      <c r="B19" s="4" t="s">
        <v>93</v>
      </c>
      <c r="C19" s="4" t="s">
        <v>94</v>
      </c>
      <c r="D19" s="4" t="s">
        <v>41</v>
      </c>
      <c r="E19" s="4" t="s">
        <v>95</v>
      </c>
      <c r="F19" s="4" t="s">
        <v>96</v>
      </c>
      <c r="G19" s="4" t="s">
        <v>97</v>
      </c>
      <c r="H19" s="4" t="s">
        <v>55</v>
      </c>
      <c r="I19" s="4" t="s">
        <v>47</v>
      </c>
      <c r="J19" s="4" t="s">
        <v>98</v>
      </c>
      <c r="K19" s="4" t="s">
        <v>28</v>
      </c>
      <c r="L19" s="4" t="s">
        <v>99</v>
      </c>
    </row>
    <row r="20">
      <c r="A20" s="26" t="s">
        <v>100</v>
      </c>
      <c r="B20" s="5" t="s">
        <v>101</v>
      </c>
      <c r="C20" s="5"/>
      <c r="D20" s="7">
        <v>7.5</v>
      </c>
      <c r="E20" s="7">
        <v>10.0</v>
      </c>
      <c r="F20" s="5"/>
      <c r="G20" s="5"/>
      <c r="H20" s="5"/>
      <c r="I20" s="5"/>
      <c r="J20" s="5"/>
      <c r="K20" s="5"/>
      <c r="L20" s="5"/>
    </row>
    <row r="21">
      <c r="A21" s="45" t="s">
        <v>102</v>
      </c>
      <c r="B21" s="46">
        <v>45783.0</v>
      </c>
      <c r="C21" s="5"/>
      <c r="D21" s="7">
        <v>10.0</v>
      </c>
      <c r="E21" s="7">
        <v>6.0</v>
      </c>
      <c r="F21" s="5"/>
      <c r="G21" s="5"/>
      <c r="H21" s="5"/>
      <c r="I21" s="5"/>
      <c r="J21" s="5"/>
      <c r="K21" s="5"/>
      <c r="L21" s="5"/>
    </row>
    <row r="22">
      <c r="A22" s="45" t="s">
        <v>104</v>
      </c>
      <c r="B22" s="46">
        <v>45720.0</v>
      </c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.75" customHeight="1">
      <c r="A23" s="25" t="s">
        <v>106</v>
      </c>
      <c r="B23" s="5" t="s">
        <v>101</v>
      </c>
      <c r="C23" s="5">
        <v>7.0</v>
      </c>
      <c r="D23" s="7">
        <v>12.5</v>
      </c>
      <c r="E23" s="7">
        <v>10.0</v>
      </c>
      <c r="F23" s="46">
        <v>45878.0</v>
      </c>
      <c r="G23" s="25">
        <f t="shared" ref="G23:G24" si="1">IF(AND(D23&lt;&gt;"",E23&lt;&gt;""),D23*E23,0)</f>
        <v>125</v>
      </c>
      <c r="H23" s="22">
        <f t="shared" ref="H23:H24" si="2">IF(AND(D23&lt;&gt;"",E23&lt;&gt;""),ROUND(D23*(1+E23/30),1),"")</f>
        <v>16.7</v>
      </c>
      <c r="I23" s="5"/>
      <c r="J23" s="5"/>
      <c r="K23" s="5"/>
      <c r="L23" s="5"/>
    </row>
    <row r="24" ht="15.75" customHeight="1">
      <c r="A24" s="25" t="s">
        <v>107</v>
      </c>
      <c r="B24" s="5" t="s">
        <v>101</v>
      </c>
      <c r="C24" s="5">
        <v>7.0</v>
      </c>
      <c r="D24" s="7">
        <v>12.5</v>
      </c>
      <c r="E24" s="7">
        <v>9.0</v>
      </c>
      <c r="F24" s="7">
        <v>9.0</v>
      </c>
      <c r="G24" s="25">
        <f t="shared" si="1"/>
        <v>112.5</v>
      </c>
      <c r="H24" s="22">
        <f t="shared" si="2"/>
        <v>16.3</v>
      </c>
      <c r="I24" s="5"/>
      <c r="J24" s="5"/>
      <c r="K24" s="5"/>
      <c r="L24" s="5"/>
    </row>
    <row r="25" ht="15.75" customHeight="1">
      <c r="A25" s="9" t="s">
        <v>108</v>
      </c>
      <c r="B25" s="10"/>
      <c r="C25" s="10"/>
      <c r="D25" s="10"/>
      <c r="E25" s="10"/>
      <c r="F25" s="10"/>
      <c r="G25" s="9">
        <f>G23+G24</f>
        <v>237.5</v>
      </c>
      <c r="H25" s="42">
        <f>MAX(H23,H24)</f>
        <v>16.7</v>
      </c>
      <c r="I25" s="10"/>
      <c r="J25" s="43">
        <v>1.0</v>
      </c>
      <c r="K25" s="43" t="s">
        <v>31</v>
      </c>
      <c r="L25" s="43">
        <v>2.0</v>
      </c>
    </row>
    <row r="26" ht="15.75" customHeight="1">
      <c r="A26" s="16" t="s">
        <v>109</v>
      </c>
      <c r="B26" s="10" t="s">
        <v>158</v>
      </c>
      <c r="C26" s="38"/>
      <c r="D26" s="38"/>
      <c r="E26" s="38"/>
      <c r="F26" s="38"/>
      <c r="G26" s="38"/>
      <c r="H26" s="38"/>
      <c r="I26" s="38"/>
      <c r="J26" s="38"/>
      <c r="K26" s="38"/>
      <c r="L26" s="40"/>
    </row>
    <row r="27" ht="15.75" customHeight="1">
      <c r="A27" s="16" t="s">
        <v>111</v>
      </c>
      <c r="B27" s="10" t="s">
        <v>159</v>
      </c>
      <c r="C27" s="38"/>
      <c r="D27" s="38"/>
      <c r="E27" s="38"/>
      <c r="F27" s="38"/>
      <c r="G27" s="38"/>
      <c r="H27" s="38"/>
      <c r="I27" s="38"/>
      <c r="J27" s="38"/>
      <c r="K27" s="38"/>
      <c r="L27" s="40"/>
    </row>
    <row r="28" ht="15.75" customHeight="1"/>
    <row r="29" ht="15.75" customHeight="1">
      <c r="A29" s="35" t="s">
        <v>160</v>
      </c>
      <c r="B29" s="36"/>
      <c r="C29" s="37"/>
      <c r="D29" s="38"/>
      <c r="E29" s="38"/>
      <c r="F29" s="38"/>
      <c r="G29" s="38"/>
      <c r="H29" s="38"/>
      <c r="I29" s="38"/>
      <c r="J29" s="38"/>
      <c r="K29" s="51" t="s">
        <v>161</v>
      </c>
      <c r="L29" s="40"/>
    </row>
    <row r="30" ht="15.75" customHeight="1">
      <c r="A30" s="4" t="s">
        <v>92</v>
      </c>
      <c r="B30" s="4" t="s">
        <v>93</v>
      </c>
      <c r="C30" s="4" t="s">
        <v>94</v>
      </c>
      <c r="D30" s="4" t="s">
        <v>41</v>
      </c>
      <c r="E30" s="4" t="s">
        <v>95</v>
      </c>
      <c r="F30" s="4" t="s">
        <v>96</v>
      </c>
      <c r="G30" s="4" t="s">
        <v>97</v>
      </c>
      <c r="H30" s="4" t="s">
        <v>55</v>
      </c>
      <c r="I30" s="4" t="s">
        <v>47</v>
      </c>
      <c r="J30" s="4" t="s">
        <v>98</v>
      </c>
      <c r="K30" s="48"/>
      <c r="L30" s="4" t="s">
        <v>99</v>
      </c>
    </row>
    <row r="31" ht="15.75" customHeight="1">
      <c r="A31" s="26" t="s">
        <v>100</v>
      </c>
      <c r="B31" s="5" t="s">
        <v>101</v>
      </c>
      <c r="C31" s="5"/>
      <c r="D31" s="7">
        <v>3.0</v>
      </c>
      <c r="E31" s="7"/>
      <c r="F31" s="5"/>
      <c r="G31" s="25"/>
      <c r="H31" s="22"/>
      <c r="I31" s="5"/>
      <c r="J31" s="5"/>
      <c r="K31" s="52"/>
      <c r="L31" s="5"/>
    </row>
    <row r="32" ht="15.75" customHeight="1">
      <c r="A32" s="25" t="s">
        <v>106</v>
      </c>
      <c r="B32" s="7">
        <v>12.0</v>
      </c>
      <c r="C32" s="7">
        <v>8.0</v>
      </c>
      <c r="D32" s="7">
        <v>5.0</v>
      </c>
      <c r="E32" s="7">
        <v>10.0</v>
      </c>
      <c r="F32" s="7">
        <v>7.0</v>
      </c>
      <c r="G32" s="25">
        <f t="shared" ref="G32:G33" si="3">IF(AND(D32&lt;&gt;"",E32&lt;&gt;""),D32*E32,0)</f>
        <v>50</v>
      </c>
      <c r="H32" s="22">
        <f t="shared" ref="H32:H33" si="4">IF(AND(D32&lt;&gt;"",E32&lt;&gt;""),ROUND(D32*(1+E32/30),1),"")</f>
        <v>6.7</v>
      </c>
      <c r="I32" s="5"/>
      <c r="J32" s="5"/>
      <c r="K32" s="52"/>
      <c r="L32" s="5"/>
    </row>
    <row r="33" ht="15.75" customHeight="1">
      <c r="A33" s="25" t="s">
        <v>107</v>
      </c>
      <c r="B33" s="7">
        <v>12.0</v>
      </c>
      <c r="C33" s="7">
        <v>8.0</v>
      </c>
      <c r="D33" s="7">
        <v>5.0</v>
      </c>
      <c r="E33" s="7">
        <v>12.0</v>
      </c>
      <c r="F33" s="7">
        <v>8.0</v>
      </c>
      <c r="G33" s="25">
        <f t="shared" si="3"/>
        <v>60</v>
      </c>
      <c r="H33" s="22">
        <f t="shared" si="4"/>
        <v>7</v>
      </c>
      <c r="I33" s="5"/>
      <c r="J33" s="5"/>
      <c r="L33" s="5"/>
    </row>
    <row r="34" ht="15.75" customHeight="1">
      <c r="A34" s="9" t="s">
        <v>108</v>
      </c>
      <c r="B34" s="10"/>
      <c r="C34" s="10"/>
      <c r="D34" s="10"/>
      <c r="E34" s="10"/>
      <c r="F34" s="10"/>
      <c r="G34" s="9">
        <f>G32+G33</f>
        <v>110</v>
      </c>
      <c r="H34" s="42">
        <f>MAX(H30,H33)</f>
        <v>7</v>
      </c>
      <c r="I34" s="10"/>
      <c r="J34" s="43">
        <v>1.0</v>
      </c>
      <c r="K34" s="57" t="s">
        <v>31</v>
      </c>
      <c r="L34" s="43">
        <v>2.0</v>
      </c>
    </row>
    <row r="35" ht="15.75" customHeight="1">
      <c r="A35" s="16" t="s">
        <v>109</v>
      </c>
      <c r="B35" s="108" t="s">
        <v>162</v>
      </c>
      <c r="C35" s="38"/>
      <c r="D35" s="38"/>
      <c r="E35" s="38"/>
      <c r="F35" s="38"/>
      <c r="G35" s="38"/>
      <c r="H35" s="38"/>
      <c r="I35" s="38"/>
      <c r="J35" s="38"/>
      <c r="K35" s="38"/>
      <c r="L35" s="40"/>
    </row>
    <row r="36" ht="15.75" customHeight="1">
      <c r="A36" s="16" t="s">
        <v>111</v>
      </c>
      <c r="B36" s="10"/>
      <c r="C36" s="38"/>
      <c r="D36" s="38"/>
      <c r="E36" s="38"/>
      <c r="F36" s="38"/>
      <c r="G36" s="38"/>
      <c r="H36" s="38"/>
      <c r="I36" s="38"/>
      <c r="J36" s="38"/>
      <c r="K36" s="38"/>
      <c r="L36" s="40"/>
    </row>
    <row r="37" ht="15.75" customHeight="1">
      <c r="A37" s="109"/>
      <c r="B37" s="109"/>
      <c r="C37" s="109"/>
      <c r="D37" s="54"/>
      <c r="E37" s="54"/>
      <c r="F37" s="54"/>
      <c r="G37" s="54"/>
      <c r="H37" s="54"/>
      <c r="I37" s="54"/>
      <c r="J37" s="54"/>
      <c r="K37" s="110"/>
      <c r="L37" s="54"/>
    </row>
    <row r="38" ht="15.75" customHeight="1">
      <c r="A38" s="35" t="s">
        <v>163</v>
      </c>
      <c r="B38" s="36"/>
      <c r="C38" s="37"/>
      <c r="D38" s="38"/>
      <c r="E38" s="38"/>
      <c r="F38" s="38"/>
      <c r="G38" s="38"/>
      <c r="H38" s="38"/>
      <c r="I38" s="38"/>
      <c r="J38" s="38"/>
      <c r="K38" s="39" t="s">
        <v>164</v>
      </c>
      <c r="L38" s="40"/>
    </row>
    <row r="39" ht="15.75" customHeight="1">
      <c r="A39" s="4" t="s">
        <v>92</v>
      </c>
      <c r="B39" s="4" t="s">
        <v>93</v>
      </c>
      <c r="C39" s="4" t="s">
        <v>94</v>
      </c>
      <c r="D39" s="4" t="s">
        <v>41</v>
      </c>
      <c r="E39" s="4" t="s">
        <v>95</v>
      </c>
      <c r="F39" s="4" t="s">
        <v>96</v>
      </c>
      <c r="G39" s="4" t="s">
        <v>97</v>
      </c>
      <c r="H39" s="4" t="s">
        <v>55</v>
      </c>
      <c r="I39" s="4" t="s">
        <v>47</v>
      </c>
      <c r="J39" s="4" t="s">
        <v>98</v>
      </c>
      <c r="K39" s="4" t="s">
        <v>28</v>
      </c>
      <c r="L39" s="4" t="s">
        <v>99</v>
      </c>
    </row>
    <row r="40" ht="15.75" customHeight="1">
      <c r="A40" s="26" t="s">
        <v>100</v>
      </c>
      <c r="B40" s="5" t="s">
        <v>101</v>
      </c>
      <c r="C40" s="5"/>
      <c r="D40" s="7">
        <v>18.0</v>
      </c>
      <c r="E40" s="7">
        <v>10.0</v>
      </c>
      <c r="F40" s="5"/>
      <c r="G40" s="5"/>
      <c r="H40" s="5"/>
      <c r="I40" s="5"/>
      <c r="J40" s="5"/>
      <c r="K40" s="5"/>
      <c r="L40" s="5"/>
    </row>
    <row r="41" ht="15.75" customHeight="1">
      <c r="A41" s="45" t="s">
        <v>102</v>
      </c>
      <c r="B41" s="46">
        <v>45783.0</v>
      </c>
      <c r="C41" s="5"/>
      <c r="D41" s="7">
        <v>25.0</v>
      </c>
      <c r="E41" s="7">
        <v>6.0</v>
      </c>
      <c r="F41" s="5"/>
      <c r="G41" s="5"/>
      <c r="H41" s="5"/>
      <c r="I41" s="5"/>
      <c r="J41" s="5"/>
      <c r="K41" s="5"/>
      <c r="L41" s="5"/>
    </row>
    <row r="42" ht="15.75" customHeight="1">
      <c r="A42" s="45"/>
      <c r="B42" s="46">
        <v>45692.0</v>
      </c>
      <c r="C42" s="5"/>
      <c r="D42" s="7">
        <v>32.0</v>
      </c>
      <c r="E42" s="7">
        <v>4.0</v>
      </c>
      <c r="F42" s="5"/>
      <c r="G42" s="5"/>
      <c r="H42" s="5"/>
      <c r="I42" s="5"/>
      <c r="J42" s="5"/>
      <c r="K42" s="5"/>
      <c r="L42" s="5"/>
    </row>
    <row r="43" ht="15.75" customHeight="1">
      <c r="A43" s="25" t="s">
        <v>106</v>
      </c>
      <c r="B43" s="5" t="s">
        <v>101</v>
      </c>
      <c r="C43" s="5">
        <v>7.0</v>
      </c>
      <c r="D43" s="7">
        <v>38.0</v>
      </c>
      <c r="E43" s="7">
        <v>10.0</v>
      </c>
      <c r="F43" s="7">
        <v>7.0</v>
      </c>
      <c r="G43" s="25">
        <f t="shared" ref="G43:G44" si="5">IF(AND(D43&lt;&gt;"",E43&lt;&gt;""),D43*E43,0)</f>
        <v>380</v>
      </c>
      <c r="H43" s="22">
        <f t="shared" ref="H43:H44" si="6">IF(AND(D43&lt;&gt;"",E43&lt;&gt;""),ROUND(D43*(1+E43/30),1),"")</f>
        <v>50.7</v>
      </c>
      <c r="I43" s="5"/>
      <c r="J43" s="5"/>
      <c r="K43" s="5"/>
      <c r="L43" s="5"/>
    </row>
    <row r="44" ht="15.75" customHeight="1">
      <c r="A44" s="25" t="s">
        <v>107</v>
      </c>
      <c r="B44" s="5" t="s">
        <v>101</v>
      </c>
      <c r="C44" s="5">
        <v>7.0</v>
      </c>
      <c r="D44" s="7">
        <v>38.0</v>
      </c>
      <c r="E44" s="7">
        <v>10.0</v>
      </c>
      <c r="F44" s="7">
        <v>7.0</v>
      </c>
      <c r="G44" s="25">
        <f t="shared" si="5"/>
        <v>380</v>
      </c>
      <c r="H44" s="22">
        <f t="shared" si="6"/>
        <v>50.7</v>
      </c>
      <c r="I44" s="5"/>
      <c r="J44" s="5"/>
      <c r="K44" s="5"/>
      <c r="L44" s="5"/>
    </row>
    <row r="45" ht="15.75" customHeight="1">
      <c r="A45" s="9" t="s">
        <v>108</v>
      </c>
      <c r="B45" s="10"/>
      <c r="C45" s="10"/>
      <c r="D45" s="10"/>
      <c r="E45" s="10"/>
      <c r="F45" s="10"/>
      <c r="G45" s="9">
        <f>G43+G44</f>
        <v>760</v>
      </c>
      <c r="H45" s="42">
        <f>MAX(H43,H44)</f>
        <v>50.7</v>
      </c>
      <c r="I45" s="10"/>
      <c r="J45" s="43">
        <v>1.0</v>
      </c>
      <c r="K45" s="43" t="s">
        <v>34</v>
      </c>
      <c r="L45" s="43">
        <v>2.0</v>
      </c>
    </row>
    <row r="46" ht="15.75" customHeight="1">
      <c r="A46" s="16" t="s">
        <v>109</v>
      </c>
      <c r="B46" s="10" t="s">
        <v>145</v>
      </c>
      <c r="C46" s="111"/>
      <c r="D46" s="111"/>
      <c r="E46" s="38"/>
      <c r="F46" s="38"/>
      <c r="G46" s="38"/>
      <c r="H46" s="38"/>
      <c r="I46" s="38"/>
      <c r="J46" s="38"/>
      <c r="K46" s="38"/>
      <c r="L46" s="40"/>
    </row>
    <row r="47" ht="15.75" customHeight="1">
      <c r="A47" s="16" t="s">
        <v>111</v>
      </c>
      <c r="B47" s="10" t="s">
        <v>165</v>
      </c>
      <c r="C47" s="38"/>
      <c r="D47" s="38"/>
      <c r="E47" s="38"/>
      <c r="F47" s="38"/>
      <c r="G47" s="38"/>
      <c r="H47" s="38"/>
      <c r="I47" s="38"/>
      <c r="J47" s="38"/>
      <c r="K47" s="38"/>
      <c r="L47" s="40"/>
    </row>
    <row r="48" ht="15.75" customHeight="1"/>
    <row r="49" ht="15.75" customHeight="1">
      <c r="A49" s="44" t="s">
        <v>147</v>
      </c>
      <c r="B49" s="36"/>
      <c r="C49" s="37"/>
      <c r="D49" s="38"/>
      <c r="E49" s="38"/>
      <c r="F49" s="38"/>
      <c r="G49" s="38"/>
      <c r="H49" s="38"/>
      <c r="I49" s="38"/>
      <c r="J49" s="38"/>
      <c r="K49" s="39" t="s">
        <v>166</v>
      </c>
      <c r="L49" s="40"/>
    </row>
    <row r="50" ht="15.75" customHeight="1">
      <c r="A50" s="4" t="s">
        <v>92</v>
      </c>
      <c r="B50" s="4" t="s">
        <v>93</v>
      </c>
      <c r="C50" s="4" t="s">
        <v>94</v>
      </c>
      <c r="D50" s="4" t="s">
        <v>41</v>
      </c>
      <c r="E50" s="4" t="s">
        <v>95</v>
      </c>
      <c r="F50" s="4" t="s">
        <v>96</v>
      </c>
      <c r="G50" s="4" t="s">
        <v>97</v>
      </c>
      <c r="H50" s="4" t="s">
        <v>55</v>
      </c>
      <c r="I50" s="4" t="s">
        <v>47</v>
      </c>
      <c r="J50" s="4" t="s">
        <v>98</v>
      </c>
      <c r="K50" s="4" t="s">
        <v>28</v>
      </c>
      <c r="L50" s="4" t="s">
        <v>99</v>
      </c>
    </row>
    <row r="51" ht="15.75" customHeight="1">
      <c r="A51" s="26" t="s">
        <v>100</v>
      </c>
      <c r="B51" s="46">
        <v>45879.0</v>
      </c>
      <c r="C51" s="5"/>
      <c r="D51" s="7">
        <v>3.0</v>
      </c>
      <c r="E51" s="7">
        <v>10.0</v>
      </c>
      <c r="F51" s="5"/>
      <c r="G51" s="25"/>
      <c r="H51" s="22"/>
      <c r="I51" s="5"/>
      <c r="J51" s="5"/>
      <c r="K51" s="5"/>
      <c r="L51" s="5"/>
    </row>
    <row r="52" ht="15.75" customHeight="1">
      <c r="A52" s="45" t="s">
        <v>102</v>
      </c>
      <c r="B52" s="46">
        <v>45783.0</v>
      </c>
      <c r="C52" s="5"/>
      <c r="D52" s="5"/>
      <c r="E52" s="5"/>
      <c r="F52" s="5"/>
      <c r="G52" s="25"/>
      <c r="H52" s="22"/>
      <c r="I52" s="5"/>
      <c r="J52" s="5"/>
      <c r="K52" s="5"/>
      <c r="L52" s="5"/>
    </row>
    <row r="53" ht="15.75" customHeight="1">
      <c r="A53" s="25" t="s">
        <v>106</v>
      </c>
      <c r="B53" s="5" t="s">
        <v>167</v>
      </c>
      <c r="C53" s="5">
        <v>7.0</v>
      </c>
      <c r="D53" s="7">
        <v>5.0</v>
      </c>
      <c r="E53" s="7">
        <v>12.0</v>
      </c>
      <c r="F53" s="7">
        <v>8.0</v>
      </c>
      <c r="G53" s="25">
        <f t="shared" ref="G53:G54" si="7">IF(AND(D53&lt;&gt;"",E53&lt;&gt;""),D53*E53,0)</f>
        <v>60</v>
      </c>
      <c r="H53" s="22">
        <f t="shared" ref="H53:H54" si="8">IF(AND(D53&lt;&gt;"",E53&lt;&gt;""),ROUND(D53*(1+E53/30),1),"")</f>
        <v>7</v>
      </c>
      <c r="I53" s="5"/>
      <c r="J53" s="5"/>
      <c r="K53" s="5"/>
      <c r="L53" s="5"/>
    </row>
    <row r="54" ht="15.75" customHeight="1">
      <c r="A54" s="25" t="s">
        <v>107</v>
      </c>
      <c r="B54" s="5" t="s">
        <v>167</v>
      </c>
      <c r="C54" s="5">
        <v>7.0</v>
      </c>
      <c r="D54" s="7">
        <v>5.0</v>
      </c>
      <c r="E54" s="7">
        <v>12.0</v>
      </c>
      <c r="F54" s="7">
        <v>9.0</v>
      </c>
      <c r="G54" s="25">
        <f t="shared" si="7"/>
        <v>60</v>
      </c>
      <c r="H54" s="22">
        <f t="shared" si="8"/>
        <v>7</v>
      </c>
      <c r="I54" s="5"/>
      <c r="J54" s="5"/>
      <c r="K54" s="5"/>
      <c r="L54" s="5"/>
    </row>
    <row r="55" ht="15.75" customHeight="1">
      <c r="A55" s="9" t="s">
        <v>108</v>
      </c>
      <c r="B55" s="10"/>
      <c r="C55" s="10"/>
      <c r="D55" s="10"/>
      <c r="E55" s="10"/>
      <c r="F55" s="10"/>
      <c r="G55" s="9">
        <f>G53+G54</f>
        <v>120</v>
      </c>
      <c r="H55" s="42">
        <f>MAX(H53,H54)</f>
        <v>7</v>
      </c>
      <c r="I55" s="10"/>
      <c r="J55" s="43">
        <v>1.0</v>
      </c>
      <c r="K55" s="43" t="s">
        <v>32</v>
      </c>
      <c r="L55" s="43">
        <v>2.0</v>
      </c>
    </row>
    <row r="56" ht="15.75" customHeight="1">
      <c r="A56" s="16" t="s">
        <v>109</v>
      </c>
      <c r="B56" s="10" t="s">
        <v>168</v>
      </c>
      <c r="C56" s="38"/>
      <c r="D56" s="38"/>
      <c r="E56" s="38"/>
      <c r="F56" s="38"/>
      <c r="G56" s="38"/>
      <c r="H56" s="38"/>
      <c r="I56" s="38"/>
      <c r="J56" s="38"/>
      <c r="K56" s="38"/>
      <c r="L56" s="40"/>
    </row>
    <row r="57" ht="15.75" customHeight="1">
      <c r="A57" s="16" t="s">
        <v>111</v>
      </c>
      <c r="B57" s="10" t="s">
        <v>169</v>
      </c>
      <c r="C57" s="38"/>
      <c r="D57" s="38"/>
      <c r="E57" s="38"/>
      <c r="F57" s="38"/>
      <c r="G57" s="38"/>
      <c r="H57" s="38"/>
      <c r="I57" s="38"/>
      <c r="J57" s="38"/>
      <c r="K57" s="38"/>
      <c r="L57" s="40"/>
    </row>
    <row r="58" ht="15.75" customHeight="1"/>
    <row r="59" ht="15.75" customHeight="1"/>
    <row r="60" ht="15.75" customHeight="1">
      <c r="A60" s="44" t="s">
        <v>149</v>
      </c>
      <c r="B60" s="36"/>
      <c r="C60" s="37"/>
      <c r="D60" s="38"/>
      <c r="E60" s="38"/>
      <c r="F60" s="38"/>
      <c r="G60" s="38"/>
      <c r="H60" s="38"/>
      <c r="I60" s="38"/>
      <c r="J60" s="38"/>
      <c r="K60" s="39" t="s">
        <v>170</v>
      </c>
      <c r="L60" s="40"/>
    </row>
    <row r="61" ht="15.75" customHeight="1">
      <c r="A61" s="4" t="s">
        <v>92</v>
      </c>
      <c r="B61" s="4" t="s">
        <v>93</v>
      </c>
      <c r="C61" s="4" t="s">
        <v>94</v>
      </c>
      <c r="D61" s="4" t="s">
        <v>41</v>
      </c>
      <c r="E61" s="4" t="s">
        <v>95</v>
      </c>
      <c r="F61" s="4" t="s">
        <v>96</v>
      </c>
      <c r="G61" s="4" t="s">
        <v>97</v>
      </c>
      <c r="H61" s="4" t="s">
        <v>55</v>
      </c>
      <c r="I61" s="4" t="s">
        <v>47</v>
      </c>
      <c r="J61" s="4" t="s">
        <v>98</v>
      </c>
      <c r="K61" s="4" t="s">
        <v>28</v>
      </c>
      <c r="L61" s="4" t="s">
        <v>99</v>
      </c>
    </row>
    <row r="62" ht="15.75" customHeight="1">
      <c r="A62" s="26" t="s">
        <v>100</v>
      </c>
      <c r="B62" s="5" t="s">
        <v>101</v>
      </c>
      <c r="C62" s="5"/>
      <c r="D62" s="7">
        <v>18.0</v>
      </c>
      <c r="E62" s="5"/>
      <c r="F62" s="5"/>
      <c r="G62" s="25"/>
      <c r="H62" s="22"/>
      <c r="I62" s="5"/>
      <c r="J62" s="5"/>
      <c r="K62" s="5"/>
      <c r="L62" s="5"/>
    </row>
    <row r="63" ht="15.75" customHeight="1">
      <c r="A63" s="26" t="s">
        <v>102</v>
      </c>
      <c r="B63" s="46">
        <v>45783.0</v>
      </c>
      <c r="C63" s="5"/>
      <c r="D63" s="5"/>
      <c r="E63" s="5"/>
      <c r="F63" s="5"/>
      <c r="G63" s="25"/>
      <c r="H63" s="22"/>
      <c r="I63" s="5"/>
      <c r="J63" s="5"/>
      <c r="K63" s="5"/>
      <c r="L63" s="5"/>
    </row>
    <row r="64" ht="15.75" customHeight="1">
      <c r="A64" s="25" t="s">
        <v>106</v>
      </c>
      <c r="B64" s="5" t="s">
        <v>167</v>
      </c>
      <c r="C64" s="5">
        <v>7.0</v>
      </c>
      <c r="D64" s="7">
        <v>25.0</v>
      </c>
      <c r="E64" s="7">
        <v>10.0</v>
      </c>
      <c r="F64" s="7">
        <v>7.0</v>
      </c>
      <c r="G64" s="25">
        <f t="shared" ref="G64:G65" si="9">IF(AND(D64&lt;&gt;"",E64&lt;&gt;""),D64*E64,0)</f>
        <v>250</v>
      </c>
      <c r="H64" s="22">
        <f t="shared" ref="H64:H65" si="10">IF(AND(D64&lt;&gt;"",E64&lt;&gt;""),ROUND(D64*(1+E64/30),1),"")</f>
        <v>33.3</v>
      </c>
      <c r="I64" s="5"/>
      <c r="J64" s="5"/>
      <c r="K64" s="5"/>
      <c r="L64" s="5"/>
    </row>
    <row r="65" ht="15.75" customHeight="1">
      <c r="A65" s="25" t="s">
        <v>107</v>
      </c>
      <c r="B65" s="5" t="s">
        <v>167</v>
      </c>
      <c r="C65" s="5">
        <v>7.0</v>
      </c>
      <c r="D65" s="7">
        <v>25.0</v>
      </c>
      <c r="E65" s="7">
        <v>12.0</v>
      </c>
      <c r="F65" s="7">
        <v>7.0</v>
      </c>
      <c r="G65" s="25">
        <f t="shared" si="9"/>
        <v>300</v>
      </c>
      <c r="H65" s="22">
        <f t="shared" si="10"/>
        <v>35</v>
      </c>
      <c r="I65" s="5"/>
      <c r="J65" s="5"/>
      <c r="K65" s="5"/>
      <c r="L65" s="5"/>
    </row>
    <row r="66" ht="15.75" customHeight="1">
      <c r="A66" s="9" t="s">
        <v>108</v>
      </c>
      <c r="B66" s="10"/>
      <c r="C66" s="10"/>
      <c r="D66" s="10"/>
      <c r="E66" s="10"/>
      <c r="F66" s="10"/>
      <c r="G66" s="9">
        <f>G64+G65</f>
        <v>550</v>
      </c>
      <c r="H66" s="42">
        <f>MAX(H64,H65)</f>
        <v>35</v>
      </c>
      <c r="I66" s="10"/>
      <c r="J66" s="43">
        <v>1.0</v>
      </c>
      <c r="K66" s="43" t="s">
        <v>35</v>
      </c>
      <c r="L66" s="43">
        <v>2.0</v>
      </c>
    </row>
    <row r="67" ht="15.75" customHeight="1">
      <c r="A67" s="16" t="s">
        <v>109</v>
      </c>
      <c r="B67" s="10" t="s">
        <v>171</v>
      </c>
      <c r="C67" s="38"/>
      <c r="D67" s="38"/>
      <c r="E67" s="38"/>
      <c r="F67" s="38"/>
      <c r="G67" s="38"/>
      <c r="H67" s="38"/>
      <c r="I67" s="38"/>
      <c r="J67" s="38"/>
      <c r="K67" s="38"/>
      <c r="L67" s="40"/>
    </row>
    <row r="68" ht="15.75" customHeight="1">
      <c r="A68" s="16" t="s">
        <v>111</v>
      </c>
      <c r="B68" s="10" t="s">
        <v>172</v>
      </c>
      <c r="C68" s="38"/>
      <c r="D68" s="38"/>
      <c r="E68" s="38"/>
      <c r="F68" s="38"/>
      <c r="G68" s="38"/>
      <c r="H68" s="38"/>
      <c r="I68" s="38"/>
      <c r="J68" s="38"/>
      <c r="K68" s="38"/>
      <c r="L68" s="40"/>
    </row>
    <row r="69" ht="15.75" customHeight="1"/>
    <row r="70" ht="15.75" customHeight="1"/>
    <row r="71" ht="15.75" customHeight="1">
      <c r="A71" s="35" t="s">
        <v>173</v>
      </c>
      <c r="B71" s="36"/>
      <c r="C71" s="37"/>
      <c r="D71" s="38"/>
      <c r="E71" s="38"/>
      <c r="F71" s="38"/>
      <c r="G71" s="38"/>
      <c r="H71" s="38"/>
      <c r="I71" s="38"/>
      <c r="J71" s="38"/>
      <c r="K71" s="52" t="s">
        <v>174</v>
      </c>
      <c r="L71" s="40"/>
    </row>
    <row r="72" ht="15.75" customHeight="1">
      <c r="A72" s="4" t="s">
        <v>92</v>
      </c>
      <c r="B72" s="4" t="s">
        <v>93</v>
      </c>
      <c r="C72" s="4" t="s">
        <v>94</v>
      </c>
      <c r="D72" s="4" t="s">
        <v>41</v>
      </c>
      <c r="E72" s="4" t="s">
        <v>95</v>
      </c>
      <c r="F72" s="4" t="s">
        <v>96</v>
      </c>
      <c r="G72" s="4" t="s">
        <v>97</v>
      </c>
      <c r="H72" s="4" t="s">
        <v>55</v>
      </c>
      <c r="I72" s="4" t="s">
        <v>47</v>
      </c>
      <c r="J72" s="4" t="s">
        <v>98</v>
      </c>
      <c r="K72" s="4" t="s">
        <v>28</v>
      </c>
      <c r="L72" s="4" t="s">
        <v>99</v>
      </c>
    </row>
    <row r="73" ht="15.75" customHeight="1">
      <c r="A73" s="26" t="s">
        <v>100</v>
      </c>
      <c r="B73" s="5" t="s">
        <v>101</v>
      </c>
      <c r="C73" s="5"/>
      <c r="D73" s="7">
        <v>18.0</v>
      </c>
      <c r="E73" s="7">
        <v>10.0</v>
      </c>
      <c r="F73" s="5"/>
      <c r="G73" s="25"/>
      <c r="H73" s="22"/>
      <c r="I73" s="5"/>
      <c r="J73" s="5"/>
      <c r="L73" s="5"/>
    </row>
    <row r="74" ht="15.75" customHeight="1">
      <c r="A74" s="25" t="s">
        <v>106</v>
      </c>
      <c r="B74" s="5" t="s">
        <v>114</v>
      </c>
      <c r="C74" s="5">
        <v>7.0</v>
      </c>
      <c r="D74" s="7">
        <v>25.0</v>
      </c>
      <c r="E74" s="7">
        <v>10.0</v>
      </c>
      <c r="F74" s="7">
        <v>8.0</v>
      </c>
      <c r="G74" s="25">
        <f t="shared" ref="G74:G75" si="11">IF(AND(D74&lt;&gt;"",E74&lt;&gt;""),D74*E74,0)</f>
        <v>250</v>
      </c>
      <c r="H74" s="22">
        <f t="shared" ref="H74:H75" si="12">IF(AND(D74&lt;&gt;"",E74&lt;&gt;""),ROUND(D74*(1+E74/30),1),"")</f>
        <v>33.3</v>
      </c>
      <c r="I74" s="5"/>
      <c r="J74" s="5"/>
      <c r="L74" s="5"/>
    </row>
    <row r="75" ht="15.75" customHeight="1">
      <c r="A75" s="25" t="s">
        <v>107</v>
      </c>
      <c r="B75" s="5" t="s">
        <v>114</v>
      </c>
      <c r="C75" s="5">
        <v>7.0</v>
      </c>
      <c r="D75" s="7">
        <v>25.0</v>
      </c>
      <c r="E75" s="7">
        <v>7.0</v>
      </c>
      <c r="F75" s="7">
        <v>10.0</v>
      </c>
      <c r="G75" s="25">
        <f t="shared" si="11"/>
        <v>175</v>
      </c>
      <c r="H75" s="22">
        <f t="shared" si="12"/>
        <v>30.8</v>
      </c>
      <c r="I75" s="5"/>
      <c r="J75" s="5"/>
      <c r="K75" s="5"/>
      <c r="L75" s="5"/>
    </row>
    <row r="76" ht="15.75" customHeight="1">
      <c r="A76" s="9" t="s">
        <v>108</v>
      </c>
      <c r="B76" s="10"/>
      <c r="C76" s="10"/>
      <c r="D76" s="10"/>
      <c r="E76" s="10"/>
      <c r="F76" s="10"/>
      <c r="G76" s="9">
        <f>G74+G75</f>
        <v>425</v>
      </c>
      <c r="H76" s="42">
        <f>MAX(H74,H75)</f>
        <v>33.3</v>
      </c>
      <c r="I76" s="10"/>
      <c r="J76" s="43">
        <v>1.0</v>
      </c>
      <c r="K76" s="43" t="s">
        <v>33</v>
      </c>
      <c r="L76" s="43">
        <v>2.0</v>
      </c>
    </row>
    <row r="77" ht="15.75" customHeight="1">
      <c r="A77" s="16" t="s">
        <v>109</v>
      </c>
      <c r="B77" s="10" t="s">
        <v>175</v>
      </c>
      <c r="C77" s="38"/>
      <c r="D77" s="38"/>
      <c r="E77" s="38"/>
      <c r="F77" s="38"/>
      <c r="G77" s="38"/>
      <c r="H77" s="38"/>
      <c r="I77" s="38"/>
      <c r="J77" s="38"/>
      <c r="K77" s="38"/>
      <c r="L77" s="40"/>
    </row>
    <row r="78" ht="15.75" customHeight="1">
      <c r="A78" s="16" t="s">
        <v>111</v>
      </c>
      <c r="B78" s="10" t="s">
        <v>176</v>
      </c>
      <c r="C78" s="38"/>
      <c r="D78" s="38"/>
      <c r="E78" s="38"/>
      <c r="F78" s="38"/>
      <c r="G78" s="38"/>
      <c r="H78" s="38"/>
      <c r="I78" s="38"/>
      <c r="J78" s="38"/>
      <c r="K78" s="38"/>
      <c r="L78" s="40"/>
    </row>
    <row r="79" ht="15.75" customHeight="1"/>
    <row r="80" ht="15.75" customHeight="1"/>
    <row r="81" ht="15.75" customHeight="1">
      <c r="A81" s="112" t="s">
        <v>177</v>
      </c>
      <c r="B81" s="38"/>
      <c r="C81" s="38"/>
      <c r="D81" s="38"/>
      <c r="E81" s="38"/>
      <c r="F81" s="38"/>
      <c r="G81" s="38"/>
      <c r="H81" s="38"/>
      <c r="I81" s="38"/>
      <c r="J81" s="38"/>
      <c r="K81" s="52" t="s">
        <v>178</v>
      </c>
      <c r="L81" s="40"/>
    </row>
    <row r="82" ht="15.75" customHeight="1">
      <c r="A82" s="4" t="s">
        <v>92</v>
      </c>
      <c r="B82" s="4" t="s">
        <v>93</v>
      </c>
      <c r="C82" s="4" t="s">
        <v>94</v>
      </c>
      <c r="D82" s="4" t="s">
        <v>41</v>
      </c>
      <c r="E82" s="4" t="s">
        <v>95</v>
      </c>
      <c r="F82" s="4" t="s">
        <v>96</v>
      </c>
      <c r="G82" s="4" t="s">
        <v>97</v>
      </c>
      <c r="H82" s="4" t="s">
        <v>55</v>
      </c>
      <c r="I82" s="4" t="s">
        <v>47</v>
      </c>
      <c r="J82" s="4" t="s">
        <v>98</v>
      </c>
      <c r="K82" s="4" t="s">
        <v>28</v>
      </c>
      <c r="L82" s="4" t="s">
        <v>99</v>
      </c>
    </row>
    <row r="83" ht="15.75" customHeight="1">
      <c r="A83" s="26" t="s">
        <v>100</v>
      </c>
      <c r="B83" s="5" t="s">
        <v>101</v>
      </c>
      <c r="C83" s="113"/>
      <c r="D83" s="114">
        <v>18.0</v>
      </c>
      <c r="E83" s="114">
        <v>10.0</v>
      </c>
      <c r="F83" s="113"/>
      <c r="G83" s="113"/>
      <c r="H83" s="113"/>
      <c r="I83" s="113"/>
      <c r="J83" s="113"/>
      <c r="K83" s="113"/>
      <c r="L83" s="113"/>
    </row>
    <row r="84" ht="15.75" customHeight="1">
      <c r="A84" s="25" t="s">
        <v>106</v>
      </c>
      <c r="B84" s="5" t="s">
        <v>114</v>
      </c>
      <c r="C84" s="5">
        <v>7.0</v>
      </c>
      <c r="D84" s="7">
        <v>25.0</v>
      </c>
      <c r="E84" s="7">
        <v>15.0</v>
      </c>
      <c r="F84" s="7">
        <v>7.0</v>
      </c>
      <c r="G84" s="25">
        <f t="shared" ref="G84:G85" si="13">IF(AND(D84&lt;&gt;"",E84&lt;&gt;""),D84*E84,0)</f>
        <v>375</v>
      </c>
      <c r="H84" s="22">
        <f t="shared" ref="H84:H85" si="14">IF(AND(D84&lt;&gt;"",E84&lt;&gt;""),ROUND(D84*(1+E84/30),1),"")</f>
        <v>37.5</v>
      </c>
      <c r="I84" s="5"/>
      <c r="J84" s="5"/>
      <c r="K84" s="113"/>
      <c r="L84" s="5"/>
    </row>
    <row r="85" ht="15.75" customHeight="1">
      <c r="A85" s="25" t="s">
        <v>107</v>
      </c>
      <c r="B85" s="5" t="s">
        <v>114</v>
      </c>
      <c r="C85" s="5">
        <v>7.0</v>
      </c>
      <c r="D85" s="7">
        <v>25.0</v>
      </c>
      <c r="E85" s="7">
        <v>15.0</v>
      </c>
      <c r="F85" s="7">
        <v>8.0</v>
      </c>
      <c r="G85" s="25">
        <f t="shared" si="13"/>
        <v>375</v>
      </c>
      <c r="H85" s="22">
        <f t="shared" si="14"/>
        <v>37.5</v>
      </c>
      <c r="I85" s="5"/>
      <c r="J85" s="5"/>
      <c r="K85" s="5"/>
      <c r="L85" s="5"/>
    </row>
    <row r="86" ht="15.75" customHeight="1">
      <c r="A86" s="9" t="s">
        <v>108</v>
      </c>
      <c r="B86" s="10"/>
      <c r="C86" s="10"/>
      <c r="D86" s="10"/>
      <c r="E86" s="10"/>
      <c r="F86" s="10"/>
      <c r="G86" s="9">
        <f>G84+G85</f>
        <v>750</v>
      </c>
      <c r="H86" s="42">
        <f>MAX(H84,H85)</f>
        <v>37.5</v>
      </c>
      <c r="I86" s="10"/>
      <c r="J86" s="43">
        <v>1.0</v>
      </c>
      <c r="K86" s="43" t="s">
        <v>36</v>
      </c>
      <c r="L86" s="43">
        <v>2.0</v>
      </c>
    </row>
    <row r="87" ht="15.75" customHeight="1">
      <c r="A87" s="16" t="s">
        <v>109</v>
      </c>
      <c r="B87" s="10" t="s">
        <v>179</v>
      </c>
      <c r="C87" s="38"/>
      <c r="D87" s="38"/>
      <c r="E87" s="38"/>
      <c r="F87" s="38"/>
      <c r="G87" s="38"/>
      <c r="H87" s="38"/>
      <c r="I87" s="38"/>
      <c r="J87" s="38"/>
      <c r="K87" s="38"/>
      <c r="L87" s="40"/>
    </row>
    <row r="88" ht="15.75" customHeight="1">
      <c r="A88" s="16" t="s">
        <v>111</v>
      </c>
      <c r="B88" s="10" t="s">
        <v>180</v>
      </c>
      <c r="C88" s="38"/>
      <c r="D88" s="38"/>
      <c r="E88" s="38"/>
      <c r="F88" s="38"/>
      <c r="G88" s="38"/>
      <c r="H88" s="38"/>
      <c r="I88" s="38"/>
      <c r="J88" s="38"/>
      <c r="K88" s="38"/>
      <c r="L88" s="40"/>
    </row>
    <row r="89" ht="15.75" customHeight="1">
      <c r="A89" s="109"/>
      <c r="B89" s="109"/>
      <c r="C89" s="109"/>
      <c r="D89" s="54"/>
      <c r="E89" s="54"/>
      <c r="F89" s="54"/>
      <c r="G89" s="54"/>
      <c r="H89" s="54"/>
      <c r="I89" s="54"/>
      <c r="J89" s="54"/>
      <c r="K89" s="110"/>
      <c r="L89" s="54"/>
    </row>
    <row r="90" ht="15.75" customHeight="1">
      <c r="A90" s="35" t="s">
        <v>181</v>
      </c>
      <c r="B90" s="36"/>
      <c r="C90" s="37"/>
      <c r="D90" s="38"/>
      <c r="E90" s="38"/>
      <c r="F90" s="38"/>
      <c r="G90" s="38"/>
      <c r="H90" s="38"/>
      <c r="I90" s="38"/>
      <c r="J90" s="38"/>
      <c r="K90" s="52" t="s">
        <v>139</v>
      </c>
      <c r="L90" s="40"/>
    </row>
    <row r="91" ht="15.75" customHeight="1">
      <c r="A91" s="4" t="s">
        <v>92</v>
      </c>
      <c r="B91" s="4" t="s">
        <v>93</v>
      </c>
      <c r="C91" s="4" t="s">
        <v>94</v>
      </c>
      <c r="D91" s="4" t="s">
        <v>41</v>
      </c>
      <c r="E91" s="4" t="s">
        <v>95</v>
      </c>
      <c r="F91" s="4" t="s">
        <v>96</v>
      </c>
      <c r="G91" s="4" t="s">
        <v>97</v>
      </c>
      <c r="H91" s="4" t="s">
        <v>55</v>
      </c>
      <c r="I91" s="4" t="s">
        <v>47</v>
      </c>
      <c r="J91" s="4" t="s">
        <v>98</v>
      </c>
      <c r="K91" s="48"/>
      <c r="L91" s="4" t="s">
        <v>99</v>
      </c>
    </row>
    <row r="92" ht="15.75" customHeight="1">
      <c r="A92" s="26" t="s">
        <v>100</v>
      </c>
      <c r="B92" s="5" t="s">
        <v>101</v>
      </c>
      <c r="C92" s="5"/>
      <c r="D92" s="7"/>
      <c r="E92" s="7"/>
      <c r="F92" s="5"/>
      <c r="G92" s="25"/>
      <c r="H92" s="22"/>
      <c r="I92" s="5"/>
      <c r="J92" s="5"/>
      <c r="K92" s="52"/>
      <c r="L92" s="5"/>
    </row>
    <row r="93" ht="15.75" customHeight="1">
      <c r="A93" s="25" t="s">
        <v>106</v>
      </c>
      <c r="B93" s="7">
        <v>12.0</v>
      </c>
      <c r="C93" s="7">
        <v>8.0</v>
      </c>
      <c r="D93" s="7">
        <v>50.0</v>
      </c>
      <c r="E93" s="7"/>
      <c r="F93" s="7"/>
      <c r="G93" s="25">
        <f t="shared" ref="G93:G94" si="15">IF(AND(D93&lt;&gt;"",E93&lt;&gt;""),D93*E93,0)</f>
        <v>0</v>
      </c>
      <c r="H93" s="22" t="str">
        <f t="shared" ref="H93:H94" si="16">IF(AND(D93&lt;&gt;"",E93&lt;&gt;""),ROUND(D93*(1+E93/30),1),"")</f>
        <v/>
      </c>
      <c r="I93" s="5"/>
      <c r="J93" s="5"/>
      <c r="K93" s="52"/>
      <c r="L93" s="5"/>
    </row>
    <row r="94" ht="15.75" customHeight="1">
      <c r="A94" s="25" t="s">
        <v>107</v>
      </c>
      <c r="B94" s="7">
        <v>12.0</v>
      </c>
      <c r="C94" s="7">
        <v>8.0</v>
      </c>
      <c r="D94" s="7">
        <v>50.0</v>
      </c>
      <c r="E94" s="7"/>
      <c r="F94" s="7"/>
      <c r="G94" s="25">
        <f t="shared" si="15"/>
        <v>0</v>
      </c>
      <c r="H94" s="22" t="str">
        <f t="shared" si="16"/>
        <v/>
      </c>
      <c r="I94" s="5"/>
      <c r="J94" s="5"/>
      <c r="L94" s="5"/>
    </row>
    <row r="95" ht="15.75" customHeight="1">
      <c r="A95" s="9" t="s">
        <v>108</v>
      </c>
      <c r="B95" s="10"/>
      <c r="C95" s="10"/>
      <c r="D95" s="10"/>
      <c r="E95" s="10"/>
      <c r="F95" s="10"/>
      <c r="G95" s="9">
        <f>G93+G94</f>
        <v>0</v>
      </c>
      <c r="H95" s="42">
        <f>MAX(H91,H94)</f>
        <v>0</v>
      </c>
      <c r="I95" s="10"/>
      <c r="J95" s="43">
        <v>1.0</v>
      </c>
      <c r="K95" s="43" t="s">
        <v>37</v>
      </c>
      <c r="L95" s="43">
        <v>2.0</v>
      </c>
    </row>
    <row r="96" ht="15.75" customHeight="1">
      <c r="A96" s="16" t="s">
        <v>109</v>
      </c>
      <c r="B96" s="10"/>
      <c r="C96" s="38"/>
      <c r="D96" s="38"/>
      <c r="E96" s="38"/>
      <c r="F96" s="38"/>
      <c r="G96" s="38"/>
      <c r="H96" s="38"/>
      <c r="I96" s="38"/>
      <c r="J96" s="38"/>
      <c r="K96" s="38"/>
      <c r="L96" s="40"/>
    </row>
    <row r="97" ht="15.75" customHeight="1">
      <c r="A97" s="16" t="s">
        <v>111</v>
      </c>
      <c r="B97" s="10"/>
      <c r="C97" s="38"/>
      <c r="D97" s="38"/>
      <c r="E97" s="38"/>
      <c r="F97" s="38"/>
      <c r="G97" s="38"/>
      <c r="H97" s="38"/>
      <c r="I97" s="38"/>
      <c r="J97" s="38"/>
      <c r="K97" s="38"/>
      <c r="L97" s="40"/>
    </row>
    <row r="98" ht="15.75" customHeight="1"/>
    <row r="99" ht="15.75" customHeight="1">
      <c r="A99" s="115" t="s">
        <v>133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40"/>
    </row>
    <row r="100" ht="15.75" customHeight="1">
      <c r="A100" s="16" t="s">
        <v>134</v>
      </c>
      <c r="B100" s="10"/>
      <c r="C100" s="10"/>
      <c r="D100" s="10"/>
      <c r="E100" s="10"/>
      <c r="F100" s="10"/>
      <c r="G100" s="9">
        <f>SUMIF(J:J,1,G:G)</f>
        <v>2952.5</v>
      </c>
      <c r="H100" s="10"/>
      <c r="I100" s="16" t="s">
        <v>135</v>
      </c>
      <c r="J100" s="10"/>
      <c r="K100" s="10"/>
      <c r="L100" s="56">
        <f>SUMIF(J:J,1,L:L)</f>
        <v>16</v>
      </c>
    </row>
    <row r="101" ht="15.75" customHeight="1"/>
    <row r="102" ht="15.75" customHeight="1"/>
    <row r="103" ht="15.75" customHeight="1"/>
    <row r="104" ht="15.75" customHeight="1"/>
    <row r="105" ht="15.75" customHeight="1">
      <c r="A105" s="34" t="s">
        <v>136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ht="15.75" customHeight="1"/>
    <row r="107" ht="15.75" customHeight="1">
      <c r="A107" s="116" t="s">
        <v>143</v>
      </c>
      <c r="B107" s="38"/>
      <c r="C107" s="38"/>
      <c r="D107" s="38"/>
      <c r="E107" s="38"/>
      <c r="F107" s="38"/>
      <c r="G107" s="38"/>
      <c r="H107" s="38"/>
      <c r="I107" s="38"/>
      <c r="J107" s="38"/>
      <c r="K107" s="39" t="s">
        <v>157</v>
      </c>
      <c r="L107" s="40"/>
    </row>
    <row r="108" ht="15.75" customHeight="1">
      <c r="A108" s="4" t="s">
        <v>92</v>
      </c>
      <c r="B108" s="4" t="s">
        <v>93</v>
      </c>
      <c r="C108" s="4" t="s">
        <v>94</v>
      </c>
      <c r="D108" s="4" t="s">
        <v>41</v>
      </c>
      <c r="E108" s="4" t="s">
        <v>95</v>
      </c>
      <c r="F108" s="4" t="s">
        <v>96</v>
      </c>
      <c r="G108" s="4" t="s">
        <v>97</v>
      </c>
      <c r="H108" s="4" t="s">
        <v>55</v>
      </c>
      <c r="I108" s="4" t="s">
        <v>47</v>
      </c>
      <c r="J108" s="4" t="s">
        <v>98</v>
      </c>
      <c r="K108" s="4" t="s">
        <v>28</v>
      </c>
      <c r="L108" s="4" t="s">
        <v>99</v>
      </c>
    </row>
    <row r="109" ht="15.75" customHeight="1">
      <c r="A109" s="26" t="s">
        <v>100</v>
      </c>
      <c r="B109" s="5" t="s">
        <v>101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5.75" customHeight="1">
      <c r="A110" s="25" t="s">
        <v>106</v>
      </c>
      <c r="B110" s="5" t="s">
        <v>101</v>
      </c>
      <c r="C110" s="5">
        <v>7.0</v>
      </c>
      <c r="D110" s="5"/>
      <c r="E110" s="5"/>
      <c r="F110" s="5"/>
      <c r="G110" s="25">
        <f t="shared" ref="G110:G111" si="17">IF(AND(D110&lt;&gt;"",E110&lt;&gt;""),D110*E110,0)</f>
        <v>0</v>
      </c>
      <c r="H110" s="22" t="str">
        <f t="shared" ref="H110:H111" si="18">IF(AND(D110&lt;&gt;"",E110&lt;&gt;""),ROUND(D110*(1+E110/30),1),"")</f>
        <v/>
      </c>
      <c r="I110" s="5"/>
      <c r="J110" s="5"/>
      <c r="K110" s="5"/>
      <c r="L110" s="5"/>
    </row>
    <row r="111" ht="15.75" customHeight="1">
      <c r="A111" s="25" t="s">
        <v>107</v>
      </c>
      <c r="B111" s="5" t="s">
        <v>101</v>
      </c>
      <c r="C111" s="5">
        <v>7.0</v>
      </c>
      <c r="D111" s="5"/>
      <c r="E111" s="5"/>
      <c r="F111" s="5"/>
      <c r="G111" s="25">
        <f t="shared" si="17"/>
        <v>0</v>
      </c>
      <c r="H111" s="22" t="str">
        <f t="shared" si="18"/>
        <v/>
      </c>
      <c r="I111" s="5"/>
      <c r="J111" s="5"/>
      <c r="K111" s="5"/>
      <c r="L111" s="5"/>
    </row>
    <row r="112" ht="21.75" customHeight="1">
      <c r="A112" s="9" t="s">
        <v>108</v>
      </c>
      <c r="B112" s="10"/>
      <c r="C112" s="10"/>
      <c r="D112" s="10"/>
      <c r="E112" s="10"/>
      <c r="F112" s="10"/>
      <c r="G112" s="9">
        <f>G110+G111</f>
        <v>0</v>
      </c>
      <c r="H112" s="42">
        <f>MAX(H110,H111)</f>
        <v>0</v>
      </c>
      <c r="I112" s="10"/>
      <c r="J112" s="43">
        <v>2.0</v>
      </c>
      <c r="K112" s="43" t="s">
        <v>31</v>
      </c>
      <c r="L112" s="43">
        <v>2.0</v>
      </c>
    </row>
    <row r="113" ht="15.75" customHeight="1">
      <c r="A113" s="16" t="s">
        <v>109</v>
      </c>
      <c r="B113" s="10" t="s">
        <v>158</v>
      </c>
      <c r="C113" s="38"/>
      <c r="D113" s="38"/>
      <c r="E113" s="38"/>
      <c r="F113" s="38"/>
      <c r="G113" s="38"/>
      <c r="H113" s="38"/>
      <c r="I113" s="38"/>
      <c r="J113" s="38"/>
      <c r="K113" s="38"/>
      <c r="L113" s="40"/>
    </row>
    <row r="114" ht="15.75" customHeight="1">
      <c r="A114" s="16" t="s">
        <v>111</v>
      </c>
      <c r="B114" s="10" t="s">
        <v>159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40"/>
    </row>
    <row r="115" ht="15.75" customHeight="1"/>
    <row r="116" ht="15.75" customHeight="1">
      <c r="A116" s="116" t="s">
        <v>145</v>
      </c>
      <c r="B116" s="38"/>
      <c r="C116" s="38"/>
      <c r="D116" s="38"/>
      <c r="E116" s="38"/>
      <c r="F116" s="38"/>
      <c r="G116" s="38"/>
      <c r="H116" s="38"/>
      <c r="I116" s="38"/>
      <c r="J116" s="38"/>
      <c r="K116" s="39" t="s">
        <v>164</v>
      </c>
      <c r="L116" s="40"/>
    </row>
    <row r="117" ht="15.75" customHeight="1">
      <c r="A117" s="4" t="s">
        <v>92</v>
      </c>
      <c r="B117" s="4" t="s">
        <v>93</v>
      </c>
      <c r="C117" s="4" t="s">
        <v>94</v>
      </c>
      <c r="D117" s="4" t="s">
        <v>41</v>
      </c>
      <c r="E117" s="4" t="s">
        <v>95</v>
      </c>
      <c r="F117" s="4" t="s">
        <v>96</v>
      </c>
      <c r="G117" s="4" t="s">
        <v>97</v>
      </c>
      <c r="H117" s="4" t="s">
        <v>55</v>
      </c>
      <c r="I117" s="4" t="s">
        <v>47</v>
      </c>
      <c r="J117" s="4" t="s">
        <v>98</v>
      </c>
      <c r="K117" s="4" t="s">
        <v>28</v>
      </c>
      <c r="L117" s="4" t="s">
        <v>99</v>
      </c>
    </row>
    <row r="118" ht="15.75" customHeight="1">
      <c r="A118" s="26" t="s">
        <v>100</v>
      </c>
      <c r="B118" s="5" t="s">
        <v>101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5.75" customHeight="1">
      <c r="A119" s="25" t="s">
        <v>106</v>
      </c>
      <c r="B119" s="5" t="s">
        <v>101</v>
      </c>
      <c r="C119" s="5">
        <v>7.0</v>
      </c>
      <c r="D119" s="5"/>
      <c r="E119" s="5"/>
      <c r="F119" s="5"/>
      <c r="G119" s="25">
        <f t="shared" ref="G119:G120" si="19">IF(AND(D119&lt;&gt;"",E119&lt;&gt;""),D119*E119,0)</f>
        <v>0</v>
      </c>
      <c r="H119" s="22" t="str">
        <f t="shared" ref="H119:H120" si="20">IF(AND(D119&lt;&gt;"",E119&lt;&gt;""),ROUND(D119*(1+E119/30),1),"")</f>
        <v/>
      </c>
      <c r="I119" s="5"/>
      <c r="J119" s="5"/>
      <c r="K119" s="5"/>
      <c r="L119" s="5"/>
    </row>
    <row r="120" ht="15.75" customHeight="1">
      <c r="A120" s="25" t="s">
        <v>107</v>
      </c>
      <c r="B120" s="5" t="s">
        <v>101</v>
      </c>
      <c r="C120" s="5">
        <v>7.0</v>
      </c>
      <c r="D120" s="5"/>
      <c r="E120" s="5"/>
      <c r="F120" s="5"/>
      <c r="G120" s="25">
        <f t="shared" si="19"/>
        <v>0</v>
      </c>
      <c r="H120" s="22" t="str">
        <f t="shared" si="20"/>
        <v/>
      </c>
      <c r="I120" s="5"/>
      <c r="J120" s="5"/>
      <c r="K120" s="5"/>
      <c r="L120" s="5"/>
    </row>
    <row r="121" ht="15.75" customHeight="1">
      <c r="A121" s="9" t="s">
        <v>108</v>
      </c>
      <c r="B121" s="10"/>
      <c r="C121" s="10"/>
      <c r="D121" s="10"/>
      <c r="E121" s="10"/>
      <c r="F121" s="10"/>
      <c r="G121" s="9">
        <f>G119+G120</f>
        <v>0</v>
      </c>
      <c r="H121" s="42">
        <f>MAX(H119,H120)</f>
        <v>0</v>
      </c>
      <c r="I121" s="10"/>
      <c r="J121" s="43">
        <v>2.0</v>
      </c>
      <c r="K121" s="43" t="s">
        <v>34</v>
      </c>
      <c r="L121" s="43">
        <v>2.0</v>
      </c>
    </row>
    <row r="122" ht="15.75" customHeight="1">
      <c r="A122" s="16" t="s">
        <v>109</v>
      </c>
      <c r="B122" s="10" t="s">
        <v>182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40"/>
    </row>
    <row r="123" ht="15.75" customHeight="1">
      <c r="A123" s="16" t="s">
        <v>111</v>
      </c>
      <c r="B123" s="10" t="s">
        <v>165</v>
      </c>
      <c r="C123" s="38"/>
      <c r="D123" s="38"/>
      <c r="E123" s="38"/>
      <c r="F123" s="38"/>
      <c r="G123" s="38"/>
      <c r="H123" s="38"/>
      <c r="I123" s="38"/>
      <c r="J123" s="38"/>
      <c r="K123" s="38"/>
      <c r="L123" s="40"/>
    </row>
    <row r="124" ht="15.75" customHeight="1"/>
    <row r="125" ht="15.75" customHeight="1">
      <c r="A125" s="116" t="s">
        <v>147</v>
      </c>
      <c r="B125" s="38"/>
      <c r="C125" s="38"/>
      <c r="D125" s="38"/>
      <c r="E125" s="38"/>
      <c r="F125" s="38"/>
      <c r="G125" s="38"/>
      <c r="H125" s="38"/>
      <c r="I125" s="38"/>
      <c r="J125" s="38"/>
      <c r="K125" s="39" t="s">
        <v>166</v>
      </c>
      <c r="L125" s="40"/>
    </row>
    <row r="126" ht="15.75" customHeight="1">
      <c r="A126" s="4" t="s">
        <v>92</v>
      </c>
      <c r="B126" s="4" t="s">
        <v>93</v>
      </c>
      <c r="C126" s="4" t="s">
        <v>94</v>
      </c>
      <c r="D126" s="4" t="s">
        <v>41</v>
      </c>
      <c r="E126" s="4" t="s">
        <v>95</v>
      </c>
      <c r="F126" s="4" t="s">
        <v>96</v>
      </c>
      <c r="G126" s="4" t="s">
        <v>97</v>
      </c>
      <c r="H126" s="4" t="s">
        <v>55</v>
      </c>
      <c r="I126" s="4" t="s">
        <v>47</v>
      </c>
      <c r="J126" s="4" t="s">
        <v>98</v>
      </c>
      <c r="K126" s="4" t="s">
        <v>28</v>
      </c>
      <c r="L126" s="4" t="s">
        <v>99</v>
      </c>
    </row>
    <row r="127" ht="15.75" customHeight="1">
      <c r="A127" s="25" t="s">
        <v>106</v>
      </c>
      <c r="B127" s="5" t="s">
        <v>167</v>
      </c>
      <c r="C127" s="5">
        <v>7.0</v>
      </c>
      <c r="D127" s="5"/>
      <c r="E127" s="5"/>
      <c r="F127" s="5"/>
      <c r="G127" s="25">
        <f t="shared" ref="G127:G128" si="21">IF(AND(D127&lt;&gt;"",E127&lt;&gt;""),D127*E127,0)</f>
        <v>0</v>
      </c>
      <c r="H127" s="22" t="str">
        <f t="shared" ref="H127:H128" si="22">IF(AND(D127&lt;&gt;"",E127&lt;&gt;""),ROUND(D127*(1+E127/30),1),"")</f>
        <v/>
      </c>
      <c r="I127" s="5"/>
      <c r="J127" s="5"/>
      <c r="K127" s="5"/>
      <c r="L127" s="5"/>
    </row>
    <row r="128" ht="15.75" customHeight="1">
      <c r="A128" s="25" t="s">
        <v>107</v>
      </c>
      <c r="B128" s="5" t="s">
        <v>167</v>
      </c>
      <c r="C128" s="5">
        <v>7.0</v>
      </c>
      <c r="D128" s="5"/>
      <c r="E128" s="5"/>
      <c r="F128" s="5"/>
      <c r="G128" s="25">
        <f t="shared" si="21"/>
        <v>0</v>
      </c>
      <c r="H128" s="22" t="str">
        <f t="shared" si="22"/>
        <v/>
      </c>
      <c r="I128" s="5"/>
      <c r="J128" s="5"/>
      <c r="K128" s="5"/>
      <c r="L128" s="5"/>
    </row>
    <row r="129" ht="15.75" customHeight="1">
      <c r="A129" s="9" t="s">
        <v>108</v>
      </c>
      <c r="B129" s="10"/>
      <c r="C129" s="10"/>
      <c r="D129" s="10"/>
      <c r="E129" s="10"/>
      <c r="F129" s="10"/>
      <c r="G129" s="9">
        <f>G127+G128</f>
        <v>0</v>
      </c>
      <c r="H129" s="42">
        <f>MAX(H127,H128)</f>
        <v>0</v>
      </c>
      <c r="I129" s="10"/>
      <c r="J129" s="43">
        <v>2.0</v>
      </c>
      <c r="K129" s="43" t="s">
        <v>32</v>
      </c>
      <c r="L129" s="43">
        <v>2.0</v>
      </c>
    </row>
    <row r="130" ht="15.75" customHeight="1">
      <c r="A130" s="16" t="s">
        <v>109</v>
      </c>
      <c r="B130" s="10" t="s">
        <v>168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40"/>
    </row>
    <row r="131" ht="15.75" customHeight="1">
      <c r="A131" s="16" t="s">
        <v>111</v>
      </c>
      <c r="B131" s="10" t="s">
        <v>169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40"/>
    </row>
    <row r="132" ht="15.75" customHeight="1"/>
    <row r="133" ht="15.75" customHeight="1"/>
    <row r="134" ht="15.75" customHeight="1">
      <c r="A134" s="116" t="s">
        <v>149</v>
      </c>
      <c r="B134" s="38"/>
      <c r="C134" s="38"/>
      <c r="D134" s="38"/>
      <c r="E134" s="38"/>
      <c r="F134" s="38"/>
      <c r="G134" s="38"/>
      <c r="H134" s="38"/>
      <c r="I134" s="38"/>
      <c r="J134" s="38"/>
      <c r="K134" s="39" t="s">
        <v>170</v>
      </c>
      <c r="L134" s="40"/>
    </row>
    <row r="135" ht="15.75" customHeight="1">
      <c r="A135" s="4" t="s">
        <v>92</v>
      </c>
      <c r="B135" s="4" t="s">
        <v>93</v>
      </c>
      <c r="C135" s="4" t="s">
        <v>94</v>
      </c>
      <c r="D135" s="4" t="s">
        <v>41</v>
      </c>
      <c r="E135" s="4" t="s">
        <v>95</v>
      </c>
      <c r="F135" s="4" t="s">
        <v>96</v>
      </c>
      <c r="G135" s="4" t="s">
        <v>97</v>
      </c>
      <c r="H135" s="4" t="s">
        <v>55</v>
      </c>
      <c r="I135" s="4" t="s">
        <v>47</v>
      </c>
      <c r="J135" s="4" t="s">
        <v>98</v>
      </c>
      <c r="K135" s="4" t="s">
        <v>28</v>
      </c>
      <c r="L135" s="4" t="s">
        <v>99</v>
      </c>
    </row>
    <row r="136" ht="15.75" customHeight="1">
      <c r="A136" s="25" t="s">
        <v>106</v>
      </c>
      <c r="B136" s="5" t="s">
        <v>167</v>
      </c>
      <c r="C136" s="5">
        <v>7.0</v>
      </c>
      <c r="D136" s="5"/>
      <c r="E136" s="5"/>
      <c r="F136" s="5"/>
      <c r="G136" s="25">
        <f t="shared" ref="G136:G137" si="23">IF(AND(D136&lt;&gt;"",E136&lt;&gt;""),D136*E136,0)</f>
        <v>0</v>
      </c>
      <c r="H136" s="22" t="str">
        <f t="shared" ref="H136:H137" si="24">IF(AND(D136&lt;&gt;"",E136&lt;&gt;""),ROUND(D136*(1+E136/30),1),"")</f>
        <v/>
      </c>
      <c r="I136" s="5"/>
      <c r="J136" s="5"/>
      <c r="K136" s="5"/>
      <c r="L136" s="5"/>
    </row>
    <row r="137" ht="15.75" customHeight="1">
      <c r="A137" s="25" t="s">
        <v>107</v>
      </c>
      <c r="B137" s="5" t="s">
        <v>167</v>
      </c>
      <c r="C137" s="5">
        <v>7.0</v>
      </c>
      <c r="D137" s="5"/>
      <c r="E137" s="5"/>
      <c r="F137" s="5"/>
      <c r="G137" s="25">
        <f t="shared" si="23"/>
        <v>0</v>
      </c>
      <c r="H137" s="22" t="str">
        <f t="shared" si="24"/>
        <v/>
      </c>
      <c r="I137" s="5"/>
      <c r="J137" s="5"/>
      <c r="K137" s="5"/>
      <c r="L137" s="5"/>
    </row>
    <row r="138" ht="15.75" customHeight="1">
      <c r="A138" s="9" t="s">
        <v>108</v>
      </c>
      <c r="B138" s="10"/>
      <c r="C138" s="10"/>
      <c r="D138" s="10"/>
      <c r="E138" s="10"/>
      <c r="F138" s="10"/>
      <c r="G138" s="9">
        <f>G136+G137</f>
        <v>0</v>
      </c>
      <c r="H138" s="42">
        <f>MAX(H136,H137)</f>
        <v>0</v>
      </c>
      <c r="I138" s="10"/>
      <c r="J138" s="43">
        <v>2.0</v>
      </c>
      <c r="K138" s="43" t="s">
        <v>35</v>
      </c>
      <c r="L138" s="43">
        <v>2.0</v>
      </c>
    </row>
    <row r="139" ht="15.75" customHeight="1">
      <c r="A139" s="16" t="s">
        <v>109</v>
      </c>
      <c r="B139" s="10" t="s">
        <v>171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40"/>
    </row>
    <row r="140" ht="15.75" customHeight="1">
      <c r="A140" s="16" t="s">
        <v>111</v>
      </c>
      <c r="B140" s="10" t="s">
        <v>172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40"/>
    </row>
    <row r="141" ht="15.75" customHeight="1"/>
    <row r="142" ht="15.75" customHeight="1"/>
    <row r="143" ht="15.75" customHeight="1">
      <c r="A143" s="25" t="s">
        <v>106</v>
      </c>
      <c r="B143" s="5" t="s">
        <v>114</v>
      </c>
      <c r="C143" s="5">
        <v>7.0</v>
      </c>
      <c r="D143" s="5"/>
      <c r="E143" s="5"/>
      <c r="F143" s="5"/>
      <c r="G143" s="25">
        <f t="shared" ref="G143:G144" si="25">IF(AND(D143&lt;&gt;"",E143&lt;&gt;""),D143*E143,0)</f>
        <v>0</v>
      </c>
      <c r="H143" s="22" t="str">
        <f t="shared" ref="H143:H144" si="26">IF(AND(D143&lt;&gt;"",E143&lt;&gt;""),ROUND(D143*(1+E143/30),1),"")</f>
        <v/>
      </c>
      <c r="I143" s="5"/>
      <c r="J143" s="5"/>
      <c r="K143" s="52" t="s">
        <v>174</v>
      </c>
      <c r="L143" s="5"/>
    </row>
    <row r="144" ht="15.75" customHeight="1">
      <c r="A144" s="25" t="s">
        <v>107</v>
      </c>
      <c r="B144" s="5" t="s">
        <v>114</v>
      </c>
      <c r="C144" s="5">
        <v>7.0</v>
      </c>
      <c r="D144" s="5"/>
      <c r="E144" s="5"/>
      <c r="F144" s="5"/>
      <c r="G144" s="25">
        <f t="shared" si="25"/>
        <v>0</v>
      </c>
      <c r="H144" s="22" t="str">
        <f t="shared" si="26"/>
        <v/>
      </c>
      <c r="I144" s="5"/>
      <c r="J144" s="5"/>
      <c r="K144" s="5"/>
      <c r="L144" s="5"/>
    </row>
    <row r="145" ht="15.75" customHeight="1">
      <c r="A145" s="9" t="s">
        <v>108</v>
      </c>
      <c r="B145" s="10"/>
      <c r="C145" s="10"/>
      <c r="D145" s="10"/>
      <c r="E145" s="10"/>
      <c r="F145" s="10"/>
      <c r="G145" s="9">
        <f>G143+G144</f>
        <v>0</v>
      </c>
      <c r="H145" s="42">
        <f>MAX(H143,H144)</f>
        <v>0</v>
      </c>
      <c r="I145" s="10"/>
      <c r="J145" s="43">
        <v>2.0</v>
      </c>
      <c r="K145" s="43" t="s">
        <v>33</v>
      </c>
      <c r="L145" s="43">
        <v>2.0</v>
      </c>
    </row>
    <row r="146" ht="15.75" customHeight="1">
      <c r="A146" s="16" t="s">
        <v>109</v>
      </c>
      <c r="B146" s="10" t="s">
        <v>175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40"/>
    </row>
    <row r="147" ht="15.75" customHeight="1">
      <c r="A147" s="16" t="s">
        <v>111</v>
      </c>
      <c r="B147" s="10" t="s">
        <v>176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40"/>
    </row>
    <row r="148" ht="15.75" customHeight="1"/>
    <row r="149" ht="15.75" customHeight="1">
      <c r="A149" s="116" t="s">
        <v>86</v>
      </c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40"/>
    </row>
    <row r="150" ht="15.75" customHeight="1">
      <c r="A150" s="4" t="s">
        <v>92</v>
      </c>
      <c r="B150" s="4" t="s">
        <v>93</v>
      </c>
      <c r="C150" s="4" t="s">
        <v>94</v>
      </c>
      <c r="D150" s="4" t="s">
        <v>41</v>
      </c>
      <c r="E150" s="4" t="s">
        <v>95</v>
      </c>
      <c r="F150" s="4" t="s">
        <v>96</v>
      </c>
      <c r="G150" s="4" t="s">
        <v>97</v>
      </c>
      <c r="H150" s="4" t="s">
        <v>55</v>
      </c>
      <c r="I150" s="4" t="s">
        <v>47</v>
      </c>
      <c r="J150" s="4" t="s">
        <v>98</v>
      </c>
      <c r="K150" s="4" t="s">
        <v>28</v>
      </c>
      <c r="L150" s="4" t="s">
        <v>99</v>
      </c>
    </row>
    <row r="151" ht="15.75" customHeight="1"/>
    <row r="152" ht="15.75" customHeight="1">
      <c r="A152" s="25" t="s">
        <v>106</v>
      </c>
      <c r="B152" s="5" t="s">
        <v>114</v>
      </c>
      <c r="C152" s="5">
        <v>7.0</v>
      </c>
      <c r="D152" s="5"/>
      <c r="E152" s="5"/>
      <c r="F152" s="5"/>
      <c r="G152" s="25">
        <f t="shared" ref="G152:G153" si="27">IF(AND(D152&lt;&gt;"",E152&lt;&gt;""),D152*E152,0)</f>
        <v>0</v>
      </c>
      <c r="H152" s="22" t="str">
        <f t="shared" ref="H152:H153" si="28">IF(AND(D152&lt;&gt;"",E152&lt;&gt;""),ROUND(D152*(1+E152/30),1),"")</f>
        <v/>
      </c>
      <c r="I152" s="5"/>
      <c r="J152" s="5"/>
      <c r="K152" s="52" t="s">
        <v>178</v>
      </c>
      <c r="L152" s="5"/>
    </row>
    <row r="153" ht="15.75" customHeight="1">
      <c r="A153" s="25" t="s">
        <v>107</v>
      </c>
      <c r="B153" s="5" t="s">
        <v>114</v>
      </c>
      <c r="C153" s="5">
        <v>7.0</v>
      </c>
      <c r="D153" s="5"/>
      <c r="E153" s="5"/>
      <c r="F153" s="5"/>
      <c r="G153" s="25">
        <f t="shared" si="27"/>
        <v>0</v>
      </c>
      <c r="H153" s="22" t="str">
        <f t="shared" si="28"/>
        <v/>
      </c>
      <c r="I153" s="5"/>
      <c r="J153" s="5"/>
      <c r="K153" s="5"/>
      <c r="L153" s="5"/>
    </row>
    <row r="154" ht="15.75" customHeight="1">
      <c r="A154" s="9" t="s">
        <v>108</v>
      </c>
      <c r="B154" s="10"/>
      <c r="C154" s="10"/>
      <c r="D154" s="10"/>
      <c r="E154" s="10"/>
      <c r="F154" s="10"/>
      <c r="G154" s="9">
        <f>G152+G153</f>
        <v>0</v>
      </c>
      <c r="H154" s="42">
        <f>MAX(H152,H153)</f>
        <v>0</v>
      </c>
      <c r="I154" s="10"/>
      <c r="J154" s="43">
        <v>2.0</v>
      </c>
      <c r="K154" s="43" t="s">
        <v>36</v>
      </c>
      <c r="L154" s="43">
        <v>2.0</v>
      </c>
    </row>
    <row r="155" ht="15.75" customHeight="1">
      <c r="A155" s="16" t="s">
        <v>109</v>
      </c>
      <c r="B155" s="10" t="s">
        <v>179</v>
      </c>
      <c r="C155" s="38"/>
      <c r="D155" s="38"/>
      <c r="E155" s="38"/>
      <c r="F155" s="38"/>
      <c r="G155" s="38"/>
      <c r="H155" s="38"/>
      <c r="I155" s="38"/>
      <c r="J155" s="38"/>
      <c r="K155" s="38"/>
      <c r="L155" s="40"/>
    </row>
    <row r="156" ht="15.75" customHeight="1">
      <c r="A156" s="16" t="s">
        <v>111</v>
      </c>
      <c r="B156" s="10" t="s">
        <v>180</v>
      </c>
      <c r="C156" s="38"/>
      <c r="D156" s="38"/>
      <c r="E156" s="38"/>
      <c r="F156" s="38"/>
      <c r="G156" s="38"/>
      <c r="H156" s="38"/>
      <c r="I156" s="38"/>
      <c r="J156" s="38"/>
      <c r="K156" s="38"/>
      <c r="L156" s="40"/>
    </row>
    <row r="157" ht="15.75" customHeight="1"/>
    <row r="158" ht="15.75" customHeight="1">
      <c r="A158" s="116" t="s">
        <v>155</v>
      </c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40"/>
    </row>
    <row r="159" ht="15.75" customHeight="1">
      <c r="A159" s="4" t="s">
        <v>92</v>
      </c>
      <c r="B159" s="4" t="s">
        <v>93</v>
      </c>
      <c r="C159" s="4" t="s">
        <v>94</v>
      </c>
      <c r="D159" s="4" t="s">
        <v>41</v>
      </c>
      <c r="E159" s="4" t="s">
        <v>95</v>
      </c>
      <c r="F159" s="4" t="s">
        <v>96</v>
      </c>
      <c r="G159" s="4" t="s">
        <v>97</v>
      </c>
      <c r="H159" s="4" t="s">
        <v>55</v>
      </c>
      <c r="I159" s="4" t="s">
        <v>47</v>
      </c>
      <c r="J159" s="4" t="s">
        <v>98</v>
      </c>
      <c r="K159" s="4" t="s">
        <v>28</v>
      </c>
      <c r="L159" s="4" t="s">
        <v>99</v>
      </c>
    </row>
    <row r="160" ht="15.75" customHeight="1"/>
    <row r="161" ht="15.75" customHeight="1">
      <c r="A161" s="25" t="s">
        <v>107</v>
      </c>
      <c r="B161" s="5" t="s">
        <v>183</v>
      </c>
      <c r="C161" s="5">
        <v>6.0</v>
      </c>
      <c r="D161" s="5"/>
      <c r="E161" s="5"/>
      <c r="F161" s="5"/>
      <c r="G161" s="25">
        <f>IF(AND(D161&lt;&gt;"",E161&lt;&gt;""),D161*E161,0)</f>
        <v>0</v>
      </c>
      <c r="H161" s="22" t="str">
        <f>IF(AND(D161&lt;&gt;"",E161&lt;&gt;""),ROUND(D161*(1+E161/30),1),"")</f>
        <v/>
      </c>
      <c r="I161" s="5"/>
      <c r="J161" s="5"/>
      <c r="K161" s="52" t="s">
        <v>184</v>
      </c>
      <c r="L161" s="5"/>
    </row>
    <row r="162" ht="15.75" customHeight="1">
      <c r="A162" s="9" t="s">
        <v>108</v>
      </c>
      <c r="B162" s="10"/>
      <c r="C162" s="10"/>
      <c r="D162" s="10"/>
      <c r="E162" s="10"/>
      <c r="F162" s="10"/>
      <c r="G162" s="9">
        <f>G160+G161</f>
        <v>0</v>
      </c>
      <c r="H162" s="42">
        <f>MAX(H160,H161)</f>
        <v>0</v>
      </c>
      <c r="I162" s="10"/>
      <c r="J162" s="43">
        <v>2.0</v>
      </c>
      <c r="K162" s="43" t="s">
        <v>37</v>
      </c>
      <c r="L162" s="43">
        <v>2.0</v>
      </c>
    </row>
    <row r="163" ht="15.75" customHeight="1">
      <c r="A163" s="16" t="s">
        <v>109</v>
      </c>
      <c r="B163" s="10" t="s">
        <v>185</v>
      </c>
      <c r="C163" s="38"/>
      <c r="D163" s="38"/>
      <c r="E163" s="38"/>
      <c r="F163" s="38"/>
      <c r="G163" s="38"/>
      <c r="H163" s="38"/>
      <c r="I163" s="38"/>
      <c r="J163" s="38"/>
      <c r="K163" s="38"/>
      <c r="L163" s="40"/>
    </row>
    <row r="164" ht="15.75" customHeight="1">
      <c r="A164" s="16" t="s">
        <v>111</v>
      </c>
      <c r="B164" s="10" t="s">
        <v>186</v>
      </c>
      <c r="C164" s="38"/>
      <c r="D164" s="38"/>
      <c r="E164" s="38"/>
      <c r="F164" s="38"/>
      <c r="G164" s="38"/>
      <c r="H164" s="38"/>
      <c r="I164" s="38"/>
      <c r="J164" s="38"/>
      <c r="K164" s="38"/>
      <c r="L164" s="40"/>
    </row>
    <row r="165" ht="15.75" customHeight="1"/>
    <row r="166" ht="15.75" customHeight="1">
      <c r="A166" s="115" t="s">
        <v>187</v>
      </c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40"/>
    </row>
    <row r="167" ht="15.75" customHeight="1">
      <c r="A167" s="16" t="s">
        <v>134</v>
      </c>
      <c r="B167" s="10"/>
      <c r="C167" s="10"/>
      <c r="D167" s="10"/>
      <c r="E167" s="10"/>
      <c r="F167" s="10"/>
      <c r="G167" s="9">
        <f>SUMIF(J:J,2,G:G)</f>
        <v>0</v>
      </c>
      <c r="H167" s="10"/>
      <c r="I167" s="16" t="s">
        <v>135</v>
      </c>
      <c r="J167" s="10"/>
      <c r="K167" s="10"/>
      <c r="L167" s="56">
        <f>SUMIF(J:J,2,L:L)</f>
        <v>14</v>
      </c>
    </row>
    <row r="168" ht="15.75" customHeight="1"/>
    <row r="169" ht="15.75" customHeight="1"/>
    <row r="170" ht="15.75" customHeight="1"/>
    <row r="171" ht="15.75" customHeight="1"/>
    <row r="172" ht="15.75" customHeight="1">
      <c r="A172" s="34" t="s">
        <v>188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5.75" customHeight="1"/>
    <row r="174" ht="15.75" customHeight="1">
      <c r="K174" s="110" t="s">
        <v>157</v>
      </c>
    </row>
    <row r="175" ht="15.75" customHeight="1">
      <c r="A175" s="116" t="s">
        <v>143</v>
      </c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40"/>
    </row>
    <row r="176" ht="15.75" customHeight="1">
      <c r="A176" s="4" t="s">
        <v>92</v>
      </c>
      <c r="B176" s="4" t="s">
        <v>93</v>
      </c>
      <c r="C176" s="4" t="s">
        <v>94</v>
      </c>
      <c r="D176" s="4" t="s">
        <v>41</v>
      </c>
      <c r="E176" s="4" t="s">
        <v>95</v>
      </c>
      <c r="F176" s="4" t="s">
        <v>96</v>
      </c>
      <c r="G176" s="4" t="s">
        <v>97</v>
      </c>
      <c r="H176" s="4" t="s">
        <v>55</v>
      </c>
      <c r="I176" s="4" t="s">
        <v>47</v>
      </c>
      <c r="J176" s="4" t="s">
        <v>98</v>
      </c>
      <c r="K176" s="4" t="s">
        <v>28</v>
      </c>
      <c r="L176" s="4" t="s">
        <v>99</v>
      </c>
    </row>
    <row r="177" ht="15.75" customHeight="1">
      <c r="A177" s="26" t="s">
        <v>100</v>
      </c>
      <c r="B177" s="5" t="s">
        <v>101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5.75" customHeight="1">
      <c r="A178" s="25" t="s">
        <v>106</v>
      </c>
      <c r="B178" s="5" t="s">
        <v>115</v>
      </c>
      <c r="C178" s="5">
        <v>8.0</v>
      </c>
      <c r="D178" s="5"/>
      <c r="E178" s="5"/>
      <c r="F178" s="5"/>
      <c r="G178" s="25">
        <f t="shared" ref="G178:G180" si="29">IF(AND(D178&lt;&gt;"",E178&lt;&gt;""),D178*E178,0)</f>
        <v>0</v>
      </c>
      <c r="H178" s="22" t="str">
        <f t="shared" ref="H178:H180" si="30">IF(AND(D178&lt;&gt;"",E178&lt;&gt;""),ROUND(D178*(1+E178/30),1),"")</f>
        <v/>
      </c>
      <c r="I178" s="5"/>
      <c r="J178" s="5"/>
      <c r="K178" s="5"/>
      <c r="L178" s="5"/>
    </row>
    <row r="179" ht="21.75" customHeight="1">
      <c r="A179" s="25" t="s">
        <v>107</v>
      </c>
      <c r="B179" s="5" t="s">
        <v>115</v>
      </c>
      <c r="C179" s="5">
        <v>8.0</v>
      </c>
      <c r="D179" s="5"/>
      <c r="E179" s="5"/>
      <c r="F179" s="5"/>
      <c r="G179" s="25">
        <f t="shared" si="29"/>
        <v>0</v>
      </c>
      <c r="H179" s="22" t="str">
        <f t="shared" si="30"/>
        <v/>
      </c>
      <c r="I179" s="5"/>
      <c r="J179" s="5"/>
      <c r="K179" s="5"/>
      <c r="L179" s="5"/>
    </row>
    <row r="180" ht="15.75" customHeight="1">
      <c r="A180" s="25" t="s">
        <v>189</v>
      </c>
      <c r="B180" s="5" t="s">
        <v>115</v>
      </c>
      <c r="C180" s="5">
        <v>8.0</v>
      </c>
      <c r="D180" s="5"/>
      <c r="E180" s="5"/>
      <c r="F180" s="5"/>
      <c r="G180" s="25">
        <f t="shared" si="29"/>
        <v>0</v>
      </c>
      <c r="H180" s="22" t="str">
        <f t="shared" si="30"/>
        <v/>
      </c>
      <c r="I180" s="5"/>
      <c r="J180" s="5"/>
      <c r="K180" s="5"/>
      <c r="L180" s="5"/>
    </row>
    <row r="181" ht="15.75" customHeight="1">
      <c r="A181" s="9" t="s">
        <v>108</v>
      </c>
      <c r="B181" s="10"/>
      <c r="C181" s="10"/>
      <c r="D181" s="10"/>
      <c r="E181" s="10"/>
      <c r="F181" s="10"/>
      <c r="G181" s="9">
        <f>G178+G179+G180</f>
        <v>0</v>
      </c>
      <c r="H181" s="42">
        <f>MAX(H178,H179,H180)</f>
        <v>0</v>
      </c>
      <c r="I181" s="10"/>
      <c r="J181" s="43">
        <v>3.0</v>
      </c>
      <c r="K181" s="43" t="s">
        <v>31</v>
      </c>
      <c r="L181" s="43">
        <v>3.0</v>
      </c>
    </row>
    <row r="182" ht="15.75" customHeight="1"/>
    <row r="183" ht="15.75" customHeight="1">
      <c r="A183" s="16" t="s">
        <v>111</v>
      </c>
      <c r="B183" s="10" t="s">
        <v>123</v>
      </c>
      <c r="C183" s="38"/>
      <c r="D183" s="38"/>
      <c r="E183" s="38"/>
      <c r="F183" s="38"/>
      <c r="G183" s="38"/>
      <c r="H183" s="38"/>
      <c r="I183" s="38"/>
      <c r="J183" s="38"/>
      <c r="K183" s="39" t="s">
        <v>164</v>
      </c>
      <c r="L183" s="40"/>
    </row>
    <row r="184" ht="15.75" customHeight="1"/>
    <row r="185" ht="15.75" customHeight="1">
      <c r="A185" s="116" t="s">
        <v>145</v>
      </c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40"/>
    </row>
    <row r="186" ht="15.75" customHeight="1">
      <c r="A186" s="4" t="s">
        <v>92</v>
      </c>
      <c r="B186" s="4" t="s">
        <v>93</v>
      </c>
      <c r="C186" s="4" t="s">
        <v>94</v>
      </c>
      <c r="D186" s="4" t="s">
        <v>41</v>
      </c>
      <c r="E186" s="4" t="s">
        <v>95</v>
      </c>
      <c r="F186" s="4" t="s">
        <v>96</v>
      </c>
      <c r="G186" s="4" t="s">
        <v>97</v>
      </c>
      <c r="H186" s="4" t="s">
        <v>55</v>
      </c>
      <c r="I186" s="4" t="s">
        <v>47</v>
      </c>
      <c r="J186" s="4" t="s">
        <v>98</v>
      </c>
      <c r="K186" s="4" t="s">
        <v>28</v>
      </c>
      <c r="L186" s="4" t="s">
        <v>99</v>
      </c>
    </row>
    <row r="187" ht="15.75" customHeight="1">
      <c r="A187" s="26" t="s">
        <v>100</v>
      </c>
      <c r="B187" s="5" t="s">
        <v>101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5.75" customHeight="1">
      <c r="A188" s="25" t="s">
        <v>106</v>
      </c>
      <c r="B188" s="5" t="s">
        <v>115</v>
      </c>
      <c r="C188" s="5">
        <v>8.0</v>
      </c>
      <c r="D188" s="5"/>
      <c r="E188" s="5"/>
      <c r="F188" s="5"/>
      <c r="G188" s="25">
        <f t="shared" ref="G188:G190" si="31">IF(AND(D188&lt;&gt;"",E188&lt;&gt;""),D188*E188,0)</f>
        <v>0</v>
      </c>
      <c r="H188" s="22" t="str">
        <f t="shared" ref="H188:H190" si="32">IF(AND(D188&lt;&gt;"",E188&lt;&gt;""),ROUND(D188*(1+E188/30),1),"")</f>
        <v/>
      </c>
      <c r="I188" s="5"/>
      <c r="J188" s="5"/>
      <c r="K188" s="5"/>
      <c r="L188" s="5"/>
    </row>
    <row r="189" ht="15.75" customHeight="1">
      <c r="A189" s="25" t="s">
        <v>107</v>
      </c>
      <c r="B189" s="5" t="s">
        <v>115</v>
      </c>
      <c r="C189" s="5">
        <v>8.0</v>
      </c>
      <c r="D189" s="5"/>
      <c r="E189" s="5"/>
      <c r="F189" s="5"/>
      <c r="G189" s="25">
        <f t="shared" si="31"/>
        <v>0</v>
      </c>
      <c r="H189" s="22" t="str">
        <f t="shared" si="32"/>
        <v/>
      </c>
      <c r="I189" s="5"/>
      <c r="J189" s="5"/>
      <c r="K189" s="5"/>
      <c r="L189" s="5"/>
    </row>
    <row r="190" ht="15.75" customHeight="1">
      <c r="A190" s="25" t="s">
        <v>189</v>
      </c>
      <c r="B190" s="5" t="s">
        <v>115</v>
      </c>
      <c r="C190" s="5">
        <v>8.0</v>
      </c>
      <c r="D190" s="5"/>
      <c r="E190" s="5"/>
      <c r="F190" s="5"/>
      <c r="G190" s="25">
        <f t="shared" si="31"/>
        <v>0</v>
      </c>
      <c r="H190" s="22" t="str">
        <f t="shared" si="32"/>
        <v/>
      </c>
      <c r="I190" s="5"/>
      <c r="J190" s="5"/>
      <c r="K190" s="5"/>
      <c r="L190" s="5"/>
    </row>
    <row r="191" ht="15.75" customHeight="1"/>
    <row r="192" ht="15.75" customHeight="1">
      <c r="A192" s="16" t="s">
        <v>109</v>
      </c>
      <c r="B192" s="10" t="s">
        <v>119</v>
      </c>
      <c r="C192" s="38"/>
      <c r="D192" s="38"/>
      <c r="E192" s="38"/>
      <c r="F192" s="38"/>
      <c r="G192" s="38"/>
      <c r="H192" s="38"/>
      <c r="I192" s="38"/>
      <c r="J192" s="38"/>
      <c r="K192" s="39" t="s">
        <v>166</v>
      </c>
      <c r="L192" s="40"/>
    </row>
    <row r="193" ht="15.75" customHeight="1">
      <c r="A193" s="16" t="s">
        <v>111</v>
      </c>
      <c r="B193" s="10" t="s">
        <v>120</v>
      </c>
      <c r="C193" s="38"/>
      <c r="D193" s="38"/>
      <c r="E193" s="38"/>
      <c r="F193" s="38"/>
      <c r="G193" s="38"/>
      <c r="H193" s="38"/>
      <c r="I193" s="38"/>
      <c r="J193" s="38"/>
      <c r="K193" s="38"/>
      <c r="L193" s="40"/>
    </row>
    <row r="194" ht="15.75" customHeight="1"/>
    <row r="195" ht="15.75" customHeight="1">
      <c r="A195" s="116" t="s">
        <v>147</v>
      </c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40"/>
    </row>
    <row r="196" ht="15.75" customHeight="1">
      <c r="A196" s="4" t="s">
        <v>92</v>
      </c>
      <c r="B196" s="4" t="s">
        <v>93</v>
      </c>
      <c r="C196" s="4" t="s">
        <v>94</v>
      </c>
      <c r="D196" s="4" t="s">
        <v>41</v>
      </c>
      <c r="E196" s="4" t="s">
        <v>95</v>
      </c>
      <c r="F196" s="4" t="s">
        <v>96</v>
      </c>
      <c r="G196" s="4" t="s">
        <v>97</v>
      </c>
      <c r="H196" s="4" t="s">
        <v>55</v>
      </c>
      <c r="I196" s="4" t="s">
        <v>47</v>
      </c>
      <c r="J196" s="4" t="s">
        <v>98</v>
      </c>
      <c r="K196" s="4" t="s">
        <v>28</v>
      </c>
      <c r="L196" s="4" t="s">
        <v>99</v>
      </c>
    </row>
    <row r="197" ht="15.75" customHeight="1">
      <c r="A197" s="25" t="s">
        <v>106</v>
      </c>
      <c r="B197" s="5" t="s">
        <v>114</v>
      </c>
      <c r="C197" s="5">
        <v>8.0</v>
      </c>
      <c r="D197" s="5"/>
      <c r="E197" s="5"/>
      <c r="F197" s="5"/>
      <c r="G197" s="25">
        <f t="shared" ref="G197:G199" si="33">IF(AND(D197&lt;&gt;"",E197&lt;&gt;""),D197*E197,0)</f>
        <v>0</v>
      </c>
      <c r="H197" s="22" t="str">
        <f t="shared" ref="H197:H199" si="34">IF(AND(D197&lt;&gt;"",E197&lt;&gt;""),ROUND(D197*(1+E197/30),1),"")</f>
        <v/>
      </c>
      <c r="I197" s="5"/>
      <c r="J197" s="5"/>
      <c r="K197" s="5"/>
      <c r="L197" s="5"/>
    </row>
    <row r="198" ht="15.75" customHeight="1">
      <c r="A198" s="25" t="s">
        <v>107</v>
      </c>
      <c r="B198" s="5" t="s">
        <v>114</v>
      </c>
      <c r="C198" s="5">
        <v>8.0</v>
      </c>
      <c r="D198" s="5"/>
      <c r="E198" s="5"/>
      <c r="F198" s="5"/>
      <c r="G198" s="25">
        <f t="shared" si="33"/>
        <v>0</v>
      </c>
      <c r="H198" s="22" t="str">
        <f t="shared" si="34"/>
        <v/>
      </c>
      <c r="I198" s="5"/>
      <c r="J198" s="5"/>
      <c r="K198" s="5"/>
      <c r="L198" s="5"/>
    </row>
    <row r="199" ht="15.75" customHeight="1">
      <c r="A199" s="25" t="s">
        <v>189</v>
      </c>
      <c r="B199" s="5" t="s">
        <v>114</v>
      </c>
      <c r="C199" s="5">
        <v>8.0</v>
      </c>
      <c r="D199" s="5"/>
      <c r="E199" s="5"/>
      <c r="F199" s="5"/>
      <c r="G199" s="25">
        <f t="shared" si="33"/>
        <v>0</v>
      </c>
      <c r="H199" s="22" t="str">
        <f t="shared" si="34"/>
        <v/>
      </c>
      <c r="I199" s="5"/>
      <c r="J199" s="5"/>
      <c r="K199" s="5"/>
      <c r="L199" s="5"/>
    </row>
    <row r="200" ht="15.75" customHeight="1"/>
    <row r="201" ht="15.75" customHeight="1">
      <c r="A201" s="16" t="s">
        <v>109</v>
      </c>
      <c r="B201" s="10" t="s">
        <v>182</v>
      </c>
      <c r="C201" s="38"/>
      <c r="D201" s="38"/>
      <c r="E201" s="38"/>
      <c r="F201" s="38"/>
      <c r="G201" s="38"/>
      <c r="H201" s="38"/>
      <c r="I201" s="38"/>
      <c r="J201" s="38"/>
      <c r="K201" s="39" t="s">
        <v>170</v>
      </c>
      <c r="L201" s="40"/>
    </row>
    <row r="202" ht="15.75" customHeight="1">
      <c r="A202" s="16" t="s">
        <v>111</v>
      </c>
      <c r="B202" s="10" t="s">
        <v>165</v>
      </c>
      <c r="C202" s="38"/>
      <c r="D202" s="38"/>
      <c r="E202" s="38"/>
      <c r="F202" s="38"/>
      <c r="G202" s="38"/>
      <c r="H202" s="38"/>
      <c r="I202" s="38"/>
      <c r="J202" s="38"/>
      <c r="K202" s="38"/>
      <c r="L202" s="40"/>
    </row>
    <row r="203" ht="15.75" customHeight="1"/>
    <row r="204" ht="15.75" customHeight="1">
      <c r="A204" s="116" t="s">
        <v>149</v>
      </c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40"/>
    </row>
    <row r="205" ht="15.75" customHeight="1">
      <c r="A205" s="4" t="s">
        <v>92</v>
      </c>
      <c r="B205" s="4" t="s">
        <v>93</v>
      </c>
      <c r="C205" s="4" t="s">
        <v>94</v>
      </c>
      <c r="D205" s="4" t="s">
        <v>41</v>
      </c>
      <c r="E205" s="4" t="s">
        <v>95</v>
      </c>
      <c r="F205" s="4" t="s">
        <v>96</v>
      </c>
      <c r="G205" s="4" t="s">
        <v>97</v>
      </c>
      <c r="H205" s="4" t="s">
        <v>55</v>
      </c>
      <c r="I205" s="4" t="s">
        <v>47</v>
      </c>
      <c r="J205" s="4" t="s">
        <v>98</v>
      </c>
      <c r="K205" s="4" t="s">
        <v>28</v>
      </c>
      <c r="L205" s="4" t="s">
        <v>99</v>
      </c>
    </row>
    <row r="206" ht="15.75" customHeight="1">
      <c r="A206" s="25" t="s">
        <v>106</v>
      </c>
      <c r="B206" s="5" t="s">
        <v>114</v>
      </c>
      <c r="C206" s="5">
        <v>8.0</v>
      </c>
      <c r="D206" s="5"/>
      <c r="E206" s="5"/>
      <c r="F206" s="5"/>
      <c r="G206" s="25">
        <f t="shared" ref="G206:G208" si="35">IF(AND(D206&lt;&gt;"",E206&lt;&gt;""),D206*E206,0)</f>
        <v>0</v>
      </c>
      <c r="H206" s="22" t="str">
        <f t="shared" ref="H206:H208" si="36">IF(AND(D206&lt;&gt;"",E206&lt;&gt;""),ROUND(D206*(1+E206/30),1),"")</f>
        <v/>
      </c>
      <c r="I206" s="5"/>
      <c r="J206" s="5"/>
      <c r="K206" s="5"/>
      <c r="L206" s="5"/>
    </row>
    <row r="207" ht="15.75" customHeight="1">
      <c r="A207" s="25" t="s">
        <v>107</v>
      </c>
      <c r="B207" s="5" t="s">
        <v>114</v>
      </c>
      <c r="C207" s="5">
        <v>8.0</v>
      </c>
      <c r="D207" s="5"/>
      <c r="E207" s="5"/>
      <c r="F207" s="5"/>
      <c r="G207" s="25">
        <f t="shared" si="35"/>
        <v>0</v>
      </c>
      <c r="H207" s="22" t="str">
        <f t="shared" si="36"/>
        <v/>
      </c>
      <c r="I207" s="5"/>
      <c r="J207" s="5"/>
      <c r="K207" s="5"/>
      <c r="L207" s="5"/>
    </row>
    <row r="208" ht="15.75" customHeight="1">
      <c r="A208" s="25" t="s">
        <v>189</v>
      </c>
      <c r="B208" s="5" t="s">
        <v>114</v>
      </c>
      <c r="C208" s="5">
        <v>8.0</v>
      </c>
      <c r="D208" s="5"/>
      <c r="E208" s="5"/>
      <c r="F208" s="5"/>
      <c r="G208" s="25">
        <f t="shared" si="35"/>
        <v>0</v>
      </c>
      <c r="H208" s="22" t="str">
        <f t="shared" si="36"/>
        <v/>
      </c>
      <c r="I208" s="5"/>
      <c r="J208" s="5"/>
      <c r="K208" s="5"/>
      <c r="L208" s="5"/>
    </row>
    <row r="209" ht="15.75" customHeight="1"/>
    <row r="210" ht="15.75" customHeight="1">
      <c r="A210" s="16" t="s">
        <v>109</v>
      </c>
      <c r="B210" s="10" t="s">
        <v>126</v>
      </c>
      <c r="C210" s="38"/>
      <c r="D210" s="38"/>
      <c r="E210" s="38"/>
      <c r="F210" s="38"/>
      <c r="G210" s="38"/>
      <c r="H210" s="38"/>
      <c r="I210" s="38"/>
      <c r="J210" s="38"/>
      <c r="K210" s="39" t="s">
        <v>174</v>
      </c>
      <c r="L210" s="40"/>
    </row>
    <row r="211" ht="15.75" customHeight="1">
      <c r="A211" s="16" t="s">
        <v>111</v>
      </c>
      <c r="B211" s="10" t="s">
        <v>127</v>
      </c>
      <c r="C211" s="38"/>
      <c r="D211" s="38"/>
      <c r="E211" s="38"/>
      <c r="F211" s="38"/>
      <c r="G211" s="38"/>
      <c r="H211" s="38"/>
      <c r="I211" s="38"/>
      <c r="J211" s="38"/>
      <c r="K211" s="38"/>
      <c r="L211" s="40"/>
    </row>
    <row r="212" ht="15.75" customHeight="1"/>
    <row r="213" ht="15.75" customHeight="1">
      <c r="A213" s="116" t="s">
        <v>151</v>
      </c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40"/>
    </row>
    <row r="214" ht="15.75" customHeight="1">
      <c r="A214" s="4" t="s">
        <v>92</v>
      </c>
      <c r="B214" s="4" t="s">
        <v>93</v>
      </c>
      <c r="C214" s="4" t="s">
        <v>94</v>
      </c>
      <c r="D214" s="4" t="s">
        <v>41</v>
      </c>
      <c r="E214" s="4" t="s">
        <v>95</v>
      </c>
      <c r="F214" s="4" t="s">
        <v>96</v>
      </c>
      <c r="G214" s="4" t="s">
        <v>97</v>
      </c>
      <c r="H214" s="4" t="s">
        <v>55</v>
      </c>
      <c r="I214" s="4" t="s">
        <v>47</v>
      </c>
      <c r="J214" s="4" t="s">
        <v>98</v>
      </c>
      <c r="K214" s="4" t="s">
        <v>28</v>
      </c>
      <c r="L214" s="4" t="s">
        <v>99</v>
      </c>
    </row>
    <row r="215" ht="15.75" customHeight="1">
      <c r="A215" s="25" t="s">
        <v>106</v>
      </c>
      <c r="B215" s="5" t="s">
        <v>101</v>
      </c>
      <c r="C215" s="5">
        <v>8.0</v>
      </c>
      <c r="D215" s="5"/>
      <c r="E215" s="5"/>
      <c r="F215" s="5"/>
      <c r="G215" s="25">
        <f t="shared" ref="G215:G217" si="37">IF(AND(D215&lt;&gt;"",E215&lt;&gt;""),D215*E215,0)</f>
        <v>0</v>
      </c>
      <c r="H215" s="22" t="str">
        <f t="shared" ref="H215:H217" si="38">IF(AND(D215&lt;&gt;"",E215&lt;&gt;""),ROUND(D215*(1+E215/30),1),"")</f>
        <v/>
      </c>
      <c r="I215" s="5"/>
      <c r="J215" s="5"/>
      <c r="K215" s="5"/>
      <c r="L215" s="5"/>
    </row>
    <row r="216" ht="15.75" customHeight="1">
      <c r="A216" s="25" t="s">
        <v>107</v>
      </c>
      <c r="B216" s="5" t="s">
        <v>101</v>
      </c>
      <c r="C216" s="5">
        <v>8.0</v>
      </c>
      <c r="D216" s="5"/>
      <c r="E216" s="5"/>
      <c r="F216" s="5"/>
      <c r="G216" s="25">
        <f t="shared" si="37"/>
        <v>0</v>
      </c>
      <c r="H216" s="22" t="str">
        <f t="shared" si="38"/>
        <v/>
      </c>
      <c r="I216" s="5"/>
      <c r="J216" s="5"/>
      <c r="K216" s="5"/>
      <c r="L216" s="5"/>
    </row>
    <row r="217" ht="15.75" customHeight="1">
      <c r="A217" s="25" t="s">
        <v>189</v>
      </c>
      <c r="B217" s="5" t="s">
        <v>101</v>
      </c>
      <c r="C217" s="5">
        <v>8.0</v>
      </c>
      <c r="D217" s="5"/>
      <c r="E217" s="5"/>
      <c r="F217" s="5"/>
      <c r="G217" s="25">
        <f t="shared" si="37"/>
        <v>0</v>
      </c>
      <c r="H217" s="22" t="str">
        <f t="shared" si="38"/>
        <v/>
      </c>
      <c r="I217" s="5"/>
      <c r="J217" s="5"/>
      <c r="K217" s="5"/>
      <c r="L217" s="5"/>
    </row>
    <row r="218" ht="15.75" customHeight="1"/>
    <row r="219" ht="15.75" customHeight="1">
      <c r="A219" s="16" t="s">
        <v>109</v>
      </c>
      <c r="B219" s="10" t="s">
        <v>129</v>
      </c>
      <c r="C219" s="38"/>
      <c r="D219" s="38"/>
      <c r="E219" s="38"/>
      <c r="F219" s="38"/>
      <c r="G219" s="38"/>
      <c r="H219" s="38"/>
      <c r="I219" s="38"/>
      <c r="J219" s="38"/>
      <c r="K219" s="39" t="s">
        <v>178</v>
      </c>
      <c r="L219" s="40"/>
    </row>
    <row r="220" ht="15.75" customHeight="1">
      <c r="A220" s="16" t="s">
        <v>111</v>
      </c>
      <c r="B220" s="10" t="s">
        <v>130</v>
      </c>
      <c r="C220" s="38"/>
      <c r="D220" s="38"/>
      <c r="E220" s="38"/>
      <c r="F220" s="38"/>
      <c r="G220" s="38"/>
      <c r="H220" s="38"/>
      <c r="I220" s="38"/>
      <c r="J220" s="38"/>
      <c r="K220" s="38"/>
      <c r="L220" s="40"/>
    </row>
    <row r="221" ht="15.75" customHeight="1"/>
    <row r="222" ht="15.75" customHeight="1">
      <c r="A222" s="116" t="s">
        <v>153</v>
      </c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40"/>
    </row>
    <row r="223" ht="15.75" customHeight="1">
      <c r="A223" s="4" t="s">
        <v>92</v>
      </c>
      <c r="B223" s="4" t="s">
        <v>93</v>
      </c>
      <c r="C223" s="4" t="s">
        <v>94</v>
      </c>
      <c r="D223" s="4" t="s">
        <v>41</v>
      </c>
      <c r="E223" s="4" t="s">
        <v>95</v>
      </c>
      <c r="F223" s="4" t="s">
        <v>96</v>
      </c>
      <c r="G223" s="4" t="s">
        <v>97</v>
      </c>
      <c r="H223" s="4" t="s">
        <v>55</v>
      </c>
      <c r="I223" s="4" t="s">
        <v>47</v>
      </c>
      <c r="J223" s="4" t="s">
        <v>98</v>
      </c>
      <c r="K223" s="4" t="s">
        <v>28</v>
      </c>
      <c r="L223" s="4" t="s">
        <v>99</v>
      </c>
    </row>
    <row r="224" ht="15.75" customHeight="1">
      <c r="A224" s="25" t="s">
        <v>106</v>
      </c>
      <c r="B224" s="5" t="s">
        <v>101</v>
      </c>
      <c r="C224" s="5">
        <v>8.0</v>
      </c>
      <c r="D224" s="5"/>
      <c r="E224" s="5"/>
      <c r="F224" s="5"/>
      <c r="G224" s="25">
        <f t="shared" ref="G224:G226" si="39">IF(AND(D224&lt;&gt;"",E224&lt;&gt;""),D224*E224,0)</f>
        <v>0</v>
      </c>
      <c r="H224" s="22" t="str">
        <f t="shared" ref="H224:H226" si="40">IF(AND(D224&lt;&gt;"",E224&lt;&gt;""),ROUND(D224*(1+E224/30),1),"")</f>
        <v/>
      </c>
      <c r="I224" s="5"/>
      <c r="J224" s="5"/>
      <c r="K224" s="5"/>
      <c r="L224" s="5"/>
    </row>
    <row r="225" ht="15.75" customHeight="1">
      <c r="A225" s="25" t="s">
        <v>107</v>
      </c>
      <c r="B225" s="5" t="s">
        <v>101</v>
      </c>
      <c r="C225" s="5">
        <v>8.0</v>
      </c>
      <c r="D225" s="5"/>
      <c r="E225" s="5"/>
      <c r="F225" s="5"/>
      <c r="G225" s="25">
        <f t="shared" si="39"/>
        <v>0</v>
      </c>
      <c r="H225" s="22" t="str">
        <f t="shared" si="40"/>
        <v/>
      </c>
      <c r="I225" s="5"/>
      <c r="J225" s="5"/>
      <c r="K225" s="5"/>
      <c r="L225" s="5"/>
    </row>
    <row r="226" ht="15.75" customHeight="1">
      <c r="A226" s="25" t="s">
        <v>189</v>
      </c>
      <c r="B226" s="5" t="s">
        <v>101</v>
      </c>
      <c r="C226" s="5">
        <v>8.0</v>
      </c>
      <c r="D226" s="5"/>
      <c r="E226" s="5"/>
      <c r="F226" s="5"/>
      <c r="G226" s="25">
        <f t="shared" si="39"/>
        <v>0</v>
      </c>
      <c r="H226" s="22" t="str">
        <f t="shared" si="40"/>
        <v/>
      </c>
      <c r="I226" s="5"/>
      <c r="J226" s="5"/>
      <c r="K226" s="5"/>
      <c r="L226" s="5"/>
    </row>
    <row r="227" ht="15.75" customHeight="1"/>
    <row r="228" ht="15.75" customHeight="1">
      <c r="A228" s="16" t="s">
        <v>109</v>
      </c>
      <c r="B228" s="10" t="s">
        <v>179</v>
      </c>
      <c r="C228" s="38"/>
      <c r="D228" s="38"/>
      <c r="E228" s="38"/>
      <c r="F228" s="38"/>
      <c r="G228" s="38"/>
      <c r="H228" s="38"/>
      <c r="I228" s="38"/>
      <c r="J228" s="38"/>
      <c r="K228" s="39" t="s">
        <v>184</v>
      </c>
      <c r="L228" s="40"/>
    </row>
    <row r="229" ht="15.75" customHeight="1">
      <c r="A229" s="16" t="s">
        <v>111</v>
      </c>
      <c r="B229" s="10" t="s">
        <v>180</v>
      </c>
      <c r="C229" s="38"/>
      <c r="D229" s="38"/>
      <c r="E229" s="38"/>
      <c r="F229" s="38"/>
      <c r="G229" s="38"/>
      <c r="H229" s="38"/>
      <c r="I229" s="38"/>
      <c r="J229" s="38"/>
      <c r="K229" s="38"/>
      <c r="L229" s="40"/>
    </row>
    <row r="230" ht="15.75" customHeight="1"/>
    <row r="231" ht="15.75" customHeight="1">
      <c r="A231" s="116" t="s">
        <v>155</v>
      </c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40"/>
    </row>
    <row r="232" ht="15.75" customHeight="1">
      <c r="A232" s="4" t="s">
        <v>92</v>
      </c>
      <c r="B232" s="4" t="s">
        <v>93</v>
      </c>
      <c r="C232" s="4" t="s">
        <v>94</v>
      </c>
      <c r="D232" s="4" t="s">
        <v>41</v>
      </c>
      <c r="E232" s="4" t="s">
        <v>95</v>
      </c>
      <c r="F232" s="4" t="s">
        <v>96</v>
      </c>
      <c r="G232" s="4" t="s">
        <v>97</v>
      </c>
      <c r="H232" s="4" t="s">
        <v>55</v>
      </c>
      <c r="I232" s="4" t="s">
        <v>47</v>
      </c>
      <c r="J232" s="4" t="s">
        <v>98</v>
      </c>
      <c r="K232" s="4" t="s">
        <v>28</v>
      </c>
      <c r="L232" s="4" t="s">
        <v>99</v>
      </c>
    </row>
    <row r="233" ht="15.75" customHeight="1">
      <c r="A233" s="25" t="s">
        <v>106</v>
      </c>
      <c r="B233" s="5" t="s">
        <v>190</v>
      </c>
      <c r="C233" s="5">
        <v>6.0</v>
      </c>
      <c r="D233" s="5"/>
      <c r="E233" s="5"/>
      <c r="F233" s="5"/>
      <c r="G233" s="25">
        <f t="shared" ref="G233:G234" si="41">IF(AND(D233&lt;&gt;"",E233&lt;&gt;""),D233*E233,0)</f>
        <v>0</v>
      </c>
      <c r="H233" s="22" t="str">
        <f t="shared" ref="H233:H234" si="42">IF(AND(D233&lt;&gt;"",E233&lt;&gt;""),ROUND(D233*(1+E233/30),1),"")</f>
        <v/>
      </c>
      <c r="I233" s="5"/>
      <c r="J233" s="5"/>
      <c r="K233" s="5"/>
      <c r="L233" s="5"/>
    </row>
    <row r="234" ht="15.75" customHeight="1">
      <c r="A234" s="25" t="s">
        <v>107</v>
      </c>
      <c r="B234" s="5" t="s">
        <v>190</v>
      </c>
      <c r="C234" s="5">
        <v>6.0</v>
      </c>
      <c r="D234" s="5"/>
      <c r="E234" s="5"/>
      <c r="F234" s="5"/>
      <c r="G234" s="25">
        <f t="shared" si="41"/>
        <v>0</v>
      </c>
      <c r="H234" s="22" t="str">
        <f t="shared" si="42"/>
        <v/>
      </c>
      <c r="I234" s="5"/>
      <c r="J234" s="5"/>
      <c r="K234" s="5"/>
      <c r="L234" s="5"/>
    </row>
    <row r="235" ht="15.75" customHeight="1">
      <c r="A235" s="9" t="s">
        <v>108</v>
      </c>
      <c r="B235" s="10"/>
      <c r="C235" s="10"/>
      <c r="D235" s="10"/>
      <c r="E235" s="10"/>
      <c r="F235" s="10"/>
      <c r="G235" s="9">
        <f>G233+G234</f>
        <v>0</v>
      </c>
      <c r="H235" s="42">
        <f>MAX(H233,H234)</f>
        <v>0</v>
      </c>
      <c r="I235" s="10"/>
      <c r="J235" s="43">
        <v>3.0</v>
      </c>
      <c r="K235" s="43" t="s">
        <v>37</v>
      </c>
      <c r="L235" s="43">
        <v>2.0</v>
      </c>
    </row>
    <row r="236" ht="15.75" customHeight="1"/>
    <row r="237" ht="15.75" customHeight="1"/>
    <row r="238" ht="15.75" customHeight="1"/>
    <row r="239" ht="15.75" customHeight="1">
      <c r="A239" s="34" t="s">
        <v>191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5.75" customHeight="1"/>
    <row r="241" ht="15.75" customHeight="1">
      <c r="A241" s="25" t="s">
        <v>106</v>
      </c>
      <c r="B241" s="5" t="s">
        <v>115</v>
      </c>
      <c r="C241" s="5">
        <v>8.0</v>
      </c>
      <c r="D241" s="5"/>
      <c r="E241" s="5"/>
      <c r="F241" s="5"/>
      <c r="G241" s="25">
        <f t="shared" ref="G241:G243" si="43">IF(AND(D241&lt;&gt;"",E241&lt;&gt;""),D241*E241,0)</f>
        <v>0</v>
      </c>
      <c r="H241" s="22" t="str">
        <f t="shared" ref="H241:H243" si="44">IF(AND(D241&lt;&gt;"",E241&lt;&gt;""),ROUND(D241*(1+E241/30),1),"")</f>
        <v/>
      </c>
      <c r="I241" s="5"/>
      <c r="J241" s="5"/>
      <c r="K241" s="52" t="s">
        <v>157</v>
      </c>
      <c r="L241" s="5"/>
    </row>
    <row r="242" ht="15.75" customHeight="1">
      <c r="A242" s="25" t="s">
        <v>107</v>
      </c>
      <c r="B242" s="5" t="s">
        <v>115</v>
      </c>
      <c r="C242" s="5">
        <v>8.0</v>
      </c>
      <c r="D242" s="5"/>
      <c r="E242" s="5"/>
      <c r="F242" s="5"/>
      <c r="G242" s="25">
        <f t="shared" si="43"/>
        <v>0</v>
      </c>
      <c r="H242" s="22" t="str">
        <f t="shared" si="44"/>
        <v/>
      </c>
      <c r="I242" s="5"/>
      <c r="J242" s="5"/>
      <c r="K242" s="5"/>
      <c r="L242" s="5"/>
    </row>
    <row r="243" ht="15.75" customHeight="1">
      <c r="A243" s="25" t="s">
        <v>189</v>
      </c>
      <c r="B243" s="5" t="s">
        <v>115</v>
      </c>
      <c r="C243" s="5">
        <v>8.0</v>
      </c>
      <c r="D243" s="5"/>
      <c r="E243" s="5"/>
      <c r="F243" s="5"/>
      <c r="G243" s="25">
        <f t="shared" si="43"/>
        <v>0</v>
      </c>
      <c r="H243" s="22" t="str">
        <f t="shared" si="44"/>
        <v/>
      </c>
      <c r="I243" s="5"/>
      <c r="J243" s="5"/>
      <c r="K243" s="5"/>
      <c r="L243" s="5"/>
    </row>
    <row r="244" ht="15.75" customHeight="1">
      <c r="A244" s="9" t="s">
        <v>108</v>
      </c>
      <c r="B244" s="10"/>
      <c r="C244" s="10"/>
      <c r="D244" s="10"/>
      <c r="E244" s="10"/>
      <c r="F244" s="10"/>
      <c r="G244" s="9">
        <f>G241+G242+G243</f>
        <v>0</v>
      </c>
      <c r="H244" s="42">
        <f>MAX(H241,H242,H243)</f>
        <v>0</v>
      </c>
      <c r="I244" s="10"/>
      <c r="J244" s="43">
        <v>4.0</v>
      </c>
      <c r="K244" s="43" t="s">
        <v>31</v>
      </c>
      <c r="L244" s="43">
        <v>3.0</v>
      </c>
    </row>
    <row r="245" ht="15.75" customHeight="1">
      <c r="A245" s="16" t="s">
        <v>109</v>
      </c>
      <c r="B245" s="10" t="s">
        <v>110</v>
      </c>
      <c r="C245" s="38"/>
      <c r="D245" s="38"/>
      <c r="E245" s="38"/>
      <c r="F245" s="38"/>
      <c r="G245" s="38"/>
      <c r="H245" s="38"/>
      <c r="I245" s="38"/>
      <c r="J245" s="38"/>
      <c r="K245" s="38"/>
      <c r="L245" s="40"/>
    </row>
    <row r="246" ht="21.75" customHeight="1">
      <c r="A246" s="16" t="s">
        <v>111</v>
      </c>
      <c r="B246" s="10" t="s">
        <v>112</v>
      </c>
      <c r="C246" s="38"/>
      <c r="D246" s="38"/>
      <c r="E246" s="38"/>
      <c r="F246" s="38"/>
      <c r="G246" s="38"/>
      <c r="H246" s="38"/>
      <c r="I246" s="38"/>
      <c r="J246" s="38"/>
      <c r="K246" s="38"/>
      <c r="L246" s="40"/>
    </row>
    <row r="247" ht="15.75" customHeight="1"/>
    <row r="248" ht="15.75" customHeight="1">
      <c r="A248" s="116" t="s">
        <v>143</v>
      </c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40"/>
    </row>
    <row r="249" ht="15.75" customHeight="1"/>
    <row r="250" ht="15.75" customHeight="1">
      <c r="A250" s="26" t="s">
        <v>100</v>
      </c>
      <c r="B250" s="5" t="s">
        <v>101</v>
      </c>
      <c r="C250" s="5"/>
      <c r="D250" s="5"/>
      <c r="E250" s="5"/>
      <c r="F250" s="5"/>
      <c r="G250" s="5"/>
      <c r="H250" s="5"/>
      <c r="I250" s="5"/>
      <c r="J250" s="5"/>
      <c r="K250" s="52" t="s">
        <v>164</v>
      </c>
      <c r="L250" s="5"/>
    </row>
    <row r="251" ht="15.75" customHeight="1">
      <c r="A251" s="25" t="s">
        <v>106</v>
      </c>
      <c r="B251" s="5" t="s">
        <v>115</v>
      </c>
      <c r="C251" s="5">
        <v>8.0</v>
      </c>
      <c r="D251" s="5"/>
      <c r="E251" s="5"/>
      <c r="F251" s="5"/>
      <c r="G251" s="25">
        <f t="shared" ref="G251:G253" si="45">IF(AND(D251&lt;&gt;"",E251&lt;&gt;""),D251*E251,0)</f>
        <v>0</v>
      </c>
      <c r="H251" s="22" t="str">
        <f t="shared" ref="H251:H253" si="46">IF(AND(D251&lt;&gt;"",E251&lt;&gt;""),ROUND(D251*(1+E251/30),1),"")</f>
        <v/>
      </c>
      <c r="I251" s="5"/>
      <c r="J251" s="5"/>
      <c r="K251" s="5"/>
      <c r="L251" s="5"/>
    </row>
    <row r="252" ht="15.75" customHeight="1">
      <c r="A252" s="25" t="s">
        <v>107</v>
      </c>
      <c r="B252" s="5" t="s">
        <v>115</v>
      </c>
      <c r="C252" s="5">
        <v>8.0</v>
      </c>
      <c r="D252" s="5"/>
      <c r="E252" s="5"/>
      <c r="F252" s="5"/>
      <c r="G252" s="25">
        <f t="shared" si="45"/>
        <v>0</v>
      </c>
      <c r="H252" s="22" t="str">
        <f t="shared" si="46"/>
        <v/>
      </c>
      <c r="I252" s="5"/>
      <c r="J252" s="5"/>
      <c r="K252" s="5"/>
      <c r="L252" s="5"/>
    </row>
    <row r="253" ht="15.75" customHeight="1">
      <c r="A253" s="25" t="s">
        <v>189</v>
      </c>
      <c r="B253" s="5" t="s">
        <v>115</v>
      </c>
      <c r="C253" s="5">
        <v>8.0</v>
      </c>
      <c r="D253" s="5"/>
      <c r="E253" s="5"/>
      <c r="F253" s="5"/>
      <c r="G253" s="25">
        <f t="shared" si="45"/>
        <v>0</v>
      </c>
      <c r="H253" s="22" t="str">
        <f t="shared" si="46"/>
        <v/>
      </c>
      <c r="I253" s="5"/>
      <c r="J253" s="5"/>
      <c r="K253" s="5"/>
      <c r="L253" s="5"/>
    </row>
    <row r="254" ht="15.75" customHeight="1">
      <c r="A254" s="9" t="s">
        <v>108</v>
      </c>
      <c r="B254" s="10"/>
      <c r="C254" s="10"/>
      <c r="D254" s="10"/>
      <c r="E254" s="10"/>
      <c r="F254" s="10"/>
      <c r="G254" s="9">
        <f>G251+G252+G253</f>
        <v>0</v>
      </c>
      <c r="H254" s="42">
        <f>MAX(H251,H252,H253)</f>
        <v>0</v>
      </c>
      <c r="I254" s="10"/>
      <c r="J254" s="43">
        <v>4.0</v>
      </c>
      <c r="K254" s="43" t="s">
        <v>34</v>
      </c>
      <c r="L254" s="43">
        <v>3.0</v>
      </c>
    </row>
    <row r="255" ht="15.75" customHeight="1">
      <c r="A255" s="16" t="s">
        <v>109</v>
      </c>
      <c r="B255" s="10" t="s">
        <v>122</v>
      </c>
      <c r="C255" s="38"/>
      <c r="D255" s="38"/>
      <c r="E255" s="38"/>
      <c r="F255" s="38"/>
      <c r="G255" s="38"/>
      <c r="H255" s="38"/>
      <c r="I255" s="38"/>
      <c r="J255" s="38"/>
      <c r="K255" s="38"/>
      <c r="L255" s="40"/>
    </row>
    <row r="256" ht="15.75" customHeight="1">
      <c r="A256" s="16" t="s">
        <v>111</v>
      </c>
      <c r="B256" s="10" t="s">
        <v>123</v>
      </c>
      <c r="C256" s="38"/>
      <c r="D256" s="38"/>
      <c r="E256" s="38"/>
      <c r="F256" s="38"/>
      <c r="G256" s="38"/>
      <c r="H256" s="38"/>
      <c r="I256" s="38"/>
      <c r="J256" s="38"/>
      <c r="K256" s="38"/>
      <c r="L256" s="40"/>
    </row>
    <row r="257" ht="15.75" customHeight="1"/>
    <row r="258" ht="15.75" customHeight="1"/>
    <row r="259" ht="15.75" customHeight="1">
      <c r="A259" s="4" t="s">
        <v>92</v>
      </c>
      <c r="B259" s="4" t="s">
        <v>93</v>
      </c>
      <c r="C259" s="4" t="s">
        <v>94</v>
      </c>
      <c r="D259" s="4" t="s">
        <v>41</v>
      </c>
      <c r="E259" s="4" t="s">
        <v>95</v>
      </c>
      <c r="F259" s="4" t="s">
        <v>96</v>
      </c>
      <c r="G259" s="4" t="s">
        <v>97</v>
      </c>
      <c r="H259" s="4" t="s">
        <v>55</v>
      </c>
      <c r="I259" s="4" t="s">
        <v>47</v>
      </c>
      <c r="J259" s="4" t="s">
        <v>98</v>
      </c>
      <c r="K259" s="48" t="s">
        <v>166</v>
      </c>
      <c r="L259" s="4" t="s">
        <v>99</v>
      </c>
    </row>
    <row r="260" ht="15.75" customHeight="1">
      <c r="A260" s="26" t="s">
        <v>100</v>
      </c>
      <c r="B260" s="5" t="s">
        <v>101</v>
      </c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5.75" customHeight="1">
      <c r="A261" s="25" t="s">
        <v>106</v>
      </c>
      <c r="B261" s="5" t="s">
        <v>101</v>
      </c>
      <c r="C261" s="5">
        <v>8.0</v>
      </c>
      <c r="D261" s="5"/>
      <c r="E261" s="5"/>
      <c r="F261" s="5"/>
      <c r="G261" s="25">
        <f t="shared" ref="G261:G263" si="47">IF(AND(D261&lt;&gt;"",E261&lt;&gt;""),D261*E261,0)</f>
        <v>0</v>
      </c>
      <c r="H261" s="22" t="str">
        <f t="shared" ref="H261:H263" si="48">IF(AND(D261&lt;&gt;"",E261&lt;&gt;""),ROUND(D261*(1+E261/30),1),"")</f>
        <v/>
      </c>
      <c r="I261" s="5"/>
      <c r="J261" s="5"/>
      <c r="K261" s="5"/>
      <c r="L261" s="5"/>
    </row>
    <row r="262" ht="15.75" customHeight="1">
      <c r="A262" s="25" t="s">
        <v>107</v>
      </c>
      <c r="B262" s="5" t="s">
        <v>101</v>
      </c>
      <c r="C262" s="5">
        <v>8.0</v>
      </c>
      <c r="D262" s="5"/>
      <c r="E262" s="5"/>
      <c r="F262" s="5"/>
      <c r="G262" s="25">
        <f t="shared" si="47"/>
        <v>0</v>
      </c>
      <c r="H262" s="22" t="str">
        <f t="shared" si="48"/>
        <v/>
      </c>
      <c r="I262" s="5"/>
      <c r="J262" s="5"/>
      <c r="K262" s="5"/>
      <c r="L262" s="5"/>
    </row>
    <row r="263" ht="15.75" customHeight="1">
      <c r="A263" s="25" t="s">
        <v>189</v>
      </c>
      <c r="B263" s="5" t="s">
        <v>101</v>
      </c>
      <c r="C263" s="5">
        <v>8.0</v>
      </c>
      <c r="D263" s="5"/>
      <c r="E263" s="5"/>
      <c r="F263" s="5"/>
      <c r="G263" s="25">
        <f t="shared" si="47"/>
        <v>0</v>
      </c>
      <c r="H263" s="22" t="str">
        <f t="shared" si="48"/>
        <v/>
      </c>
      <c r="I263" s="5"/>
      <c r="J263" s="5"/>
      <c r="K263" s="5"/>
      <c r="L263" s="5"/>
    </row>
    <row r="264" ht="15.75" customHeight="1">
      <c r="A264" s="9" t="s">
        <v>108</v>
      </c>
      <c r="B264" s="10"/>
      <c r="C264" s="10"/>
      <c r="D264" s="10"/>
      <c r="E264" s="10"/>
      <c r="F264" s="10"/>
      <c r="G264" s="9">
        <f>G261+G262+G263</f>
        <v>0</v>
      </c>
      <c r="H264" s="42">
        <f>MAX(H261,H262,H263)</f>
        <v>0</v>
      </c>
      <c r="I264" s="10"/>
      <c r="J264" s="43">
        <v>4.0</v>
      </c>
      <c r="K264" s="43" t="s">
        <v>32</v>
      </c>
      <c r="L264" s="43">
        <v>3.0</v>
      </c>
    </row>
    <row r="265" ht="15.75" customHeight="1">
      <c r="A265" s="16" t="s">
        <v>109</v>
      </c>
      <c r="B265" s="10" t="s">
        <v>119</v>
      </c>
      <c r="C265" s="38"/>
      <c r="D265" s="38"/>
      <c r="E265" s="38"/>
      <c r="F265" s="38"/>
      <c r="G265" s="38"/>
      <c r="H265" s="38"/>
      <c r="I265" s="38"/>
      <c r="J265" s="38"/>
      <c r="K265" s="38"/>
      <c r="L265" s="40"/>
    </row>
    <row r="266" ht="15.75" customHeight="1">
      <c r="A266" s="16" t="s">
        <v>111</v>
      </c>
      <c r="B266" s="10" t="s">
        <v>120</v>
      </c>
      <c r="C266" s="38"/>
      <c r="D266" s="38"/>
      <c r="E266" s="38"/>
      <c r="F266" s="38"/>
      <c r="G266" s="38"/>
      <c r="H266" s="38"/>
      <c r="I266" s="38"/>
      <c r="J266" s="38"/>
      <c r="K266" s="38"/>
      <c r="L266" s="40"/>
    </row>
    <row r="267" ht="15.75" customHeight="1"/>
    <row r="268" ht="15.75" customHeight="1">
      <c r="A268" s="4" t="s">
        <v>92</v>
      </c>
      <c r="B268" s="4" t="s">
        <v>93</v>
      </c>
      <c r="C268" s="4" t="s">
        <v>94</v>
      </c>
      <c r="D268" s="4" t="s">
        <v>41</v>
      </c>
      <c r="E268" s="4" t="s">
        <v>95</v>
      </c>
      <c r="F268" s="4" t="s">
        <v>96</v>
      </c>
      <c r="G268" s="4" t="s">
        <v>97</v>
      </c>
      <c r="H268" s="4" t="s">
        <v>55</v>
      </c>
      <c r="I268" s="4" t="s">
        <v>47</v>
      </c>
      <c r="J268" s="4" t="s">
        <v>98</v>
      </c>
      <c r="K268" s="48" t="s">
        <v>170</v>
      </c>
      <c r="L268" s="4" t="s">
        <v>99</v>
      </c>
    </row>
    <row r="269" ht="15.75" customHeight="1">
      <c r="A269" s="26" t="s">
        <v>100</v>
      </c>
      <c r="B269" s="5" t="s">
        <v>101</v>
      </c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5.75" customHeight="1">
      <c r="A270" s="25" t="s">
        <v>106</v>
      </c>
      <c r="B270" s="5" t="s">
        <v>115</v>
      </c>
      <c r="C270" s="5">
        <v>8.0</v>
      </c>
      <c r="D270" s="5"/>
      <c r="E270" s="5"/>
      <c r="F270" s="5"/>
      <c r="G270" s="25">
        <f t="shared" ref="G270:G272" si="49">IF(AND(D270&lt;&gt;"",E270&lt;&gt;""),D270*E270,0)</f>
        <v>0</v>
      </c>
      <c r="H270" s="22" t="str">
        <f t="shared" ref="H270:H272" si="50">IF(AND(D270&lt;&gt;"",E270&lt;&gt;""),ROUND(D270*(1+E270/30),1),"")</f>
        <v/>
      </c>
      <c r="I270" s="5"/>
      <c r="J270" s="5"/>
      <c r="K270" s="5"/>
      <c r="L270" s="5"/>
    </row>
    <row r="271" ht="15.75" customHeight="1">
      <c r="A271" s="25" t="s">
        <v>107</v>
      </c>
      <c r="B271" s="5" t="s">
        <v>115</v>
      </c>
      <c r="C271" s="5">
        <v>8.0</v>
      </c>
      <c r="D271" s="5"/>
      <c r="E271" s="5"/>
      <c r="F271" s="5"/>
      <c r="G271" s="25">
        <f t="shared" si="49"/>
        <v>0</v>
      </c>
      <c r="H271" s="22" t="str">
        <f t="shared" si="50"/>
        <v/>
      </c>
      <c r="I271" s="5"/>
      <c r="J271" s="5"/>
      <c r="K271" s="5"/>
      <c r="L271" s="5"/>
    </row>
    <row r="272" ht="15.75" customHeight="1">
      <c r="A272" s="25" t="s">
        <v>189</v>
      </c>
      <c r="B272" s="5" t="s">
        <v>115</v>
      </c>
      <c r="C272" s="5">
        <v>8.0</v>
      </c>
      <c r="D272" s="5"/>
      <c r="E272" s="5"/>
      <c r="F272" s="5"/>
      <c r="G272" s="25">
        <f t="shared" si="49"/>
        <v>0</v>
      </c>
      <c r="H272" s="22" t="str">
        <f t="shared" si="50"/>
        <v/>
      </c>
      <c r="I272" s="5"/>
      <c r="J272" s="5"/>
      <c r="K272" s="5"/>
      <c r="L272" s="5"/>
    </row>
    <row r="273" ht="15.75" customHeight="1">
      <c r="A273" s="9" t="s">
        <v>108</v>
      </c>
      <c r="B273" s="10"/>
      <c r="C273" s="10"/>
      <c r="D273" s="10"/>
      <c r="E273" s="10"/>
      <c r="F273" s="10"/>
      <c r="G273" s="9">
        <f>G270+G271+G272</f>
        <v>0</v>
      </c>
      <c r="H273" s="42">
        <f>MAX(H270,H271,H272)</f>
        <v>0</v>
      </c>
      <c r="I273" s="10"/>
      <c r="J273" s="43">
        <v>4.0</v>
      </c>
      <c r="K273" s="43" t="s">
        <v>34</v>
      </c>
      <c r="L273" s="43">
        <v>3.0</v>
      </c>
    </row>
    <row r="274" ht="15.75" customHeight="1">
      <c r="A274" s="16" t="s">
        <v>109</v>
      </c>
      <c r="B274" s="10" t="s">
        <v>182</v>
      </c>
      <c r="C274" s="38"/>
      <c r="D274" s="38"/>
      <c r="E274" s="38"/>
      <c r="F274" s="38"/>
      <c r="G274" s="38"/>
      <c r="H274" s="38"/>
      <c r="I274" s="38"/>
      <c r="J274" s="38"/>
      <c r="K274" s="38"/>
      <c r="L274" s="40"/>
    </row>
    <row r="275" ht="15.75" customHeight="1">
      <c r="A275" s="16" t="s">
        <v>111</v>
      </c>
      <c r="B275" s="10" t="s">
        <v>165</v>
      </c>
      <c r="C275" s="38"/>
      <c r="D275" s="38"/>
      <c r="E275" s="38"/>
      <c r="F275" s="38"/>
      <c r="G275" s="38"/>
      <c r="H275" s="38"/>
      <c r="I275" s="38"/>
      <c r="J275" s="38"/>
      <c r="K275" s="38"/>
      <c r="L275" s="40"/>
    </row>
    <row r="276" ht="15.75" customHeight="1"/>
    <row r="277" ht="15.75" customHeight="1">
      <c r="A277" s="116" t="s">
        <v>83</v>
      </c>
      <c r="B277" s="38"/>
      <c r="C277" s="38"/>
      <c r="D277" s="38"/>
      <c r="E277" s="38"/>
      <c r="F277" s="38"/>
      <c r="G277" s="38"/>
      <c r="H277" s="38"/>
      <c r="I277" s="38"/>
      <c r="J277" s="38"/>
      <c r="K277" s="39" t="s">
        <v>174</v>
      </c>
      <c r="L277" s="40"/>
    </row>
    <row r="278" ht="15.75" customHeight="1">
      <c r="A278" s="4" t="s">
        <v>92</v>
      </c>
      <c r="B278" s="4" t="s">
        <v>93</v>
      </c>
      <c r="C278" s="4" t="s">
        <v>94</v>
      </c>
      <c r="D278" s="4" t="s">
        <v>41</v>
      </c>
      <c r="E278" s="4" t="s">
        <v>95</v>
      </c>
      <c r="F278" s="4" t="s">
        <v>96</v>
      </c>
      <c r="G278" s="4" t="s">
        <v>97</v>
      </c>
      <c r="H278" s="4" t="s">
        <v>55</v>
      </c>
      <c r="I278" s="4" t="s">
        <v>47</v>
      </c>
      <c r="J278" s="4" t="s">
        <v>98</v>
      </c>
      <c r="K278" s="4" t="s">
        <v>28</v>
      </c>
      <c r="L278" s="4" t="s">
        <v>99</v>
      </c>
    </row>
    <row r="279" ht="15.75" customHeight="1">
      <c r="A279" s="25" t="s">
        <v>106</v>
      </c>
      <c r="B279" s="5" t="s">
        <v>101</v>
      </c>
      <c r="C279" s="5">
        <v>8.0</v>
      </c>
      <c r="D279" s="5"/>
      <c r="E279" s="5"/>
      <c r="F279" s="5"/>
      <c r="G279" s="25">
        <f t="shared" ref="G279:G281" si="51">IF(AND(D279&lt;&gt;"",E279&lt;&gt;""),D279*E279,0)</f>
        <v>0</v>
      </c>
      <c r="H279" s="22" t="str">
        <f t="shared" ref="H279:H281" si="52">IF(AND(D279&lt;&gt;"",E279&lt;&gt;""),ROUND(D279*(1+E279/30),1),"")</f>
        <v/>
      </c>
      <c r="I279" s="5"/>
      <c r="J279" s="5"/>
      <c r="K279" s="5"/>
      <c r="L279" s="5"/>
    </row>
    <row r="280" ht="15.75" customHeight="1">
      <c r="A280" s="25" t="s">
        <v>107</v>
      </c>
      <c r="B280" s="5" t="s">
        <v>101</v>
      </c>
      <c r="C280" s="5">
        <v>8.0</v>
      </c>
      <c r="D280" s="5"/>
      <c r="E280" s="5"/>
      <c r="F280" s="5"/>
      <c r="G280" s="25">
        <f t="shared" si="51"/>
        <v>0</v>
      </c>
      <c r="H280" s="22" t="str">
        <f t="shared" si="52"/>
        <v/>
      </c>
      <c r="I280" s="5"/>
      <c r="J280" s="5"/>
      <c r="K280" s="5"/>
      <c r="L280" s="5"/>
    </row>
    <row r="281" ht="15.75" customHeight="1">
      <c r="A281" s="25" t="s">
        <v>189</v>
      </c>
      <c r="B281" s="5" t="s">
        <v>101</v>
      </c>
      <c r="C281" s="5">
        <v>8.0</v>
      </c>
      <c r="D281" s="5"/>
      <c r="E281" s="5"/>
      <c r="F281" s="5"/>
      <c r="G281" s="25">
        <f t="shared" si="51"/>
        <v>0</v>
      </c>
      <c r="H281" s="22" t="str">
        <f t="shared" si="52"/>
        <v/>
      </c>
      <c r="I281" s="5"/>
      <c r="J281" s="5"/>
      <c r="K281" s="5"/>
      <c r="L281" s="5"/>
    </row>
    <row r="282" ht="15.75" customHeight="1">
      <c r="A282" s="9" t="s">
        <v>108</v>
      </c>
      <c r="B282" s="10"/>
      <c r="C282" s="10"/>
      <c r="D282" s="10"/>
      <c r="E282" s="10"/>
      <c r="F282" s="10"/>
      <c r="G282" s="9">
        <f>G279+G280+G281</f>
        <v>0</v>
      </c>
      <c r="H282" s="42">
        <f>MAX(H279,H280,H281)</f>
        <v>0</v>
      </c>
      <c r="I282" s="10"/>
      <c r="J282" s="43">
        <v>4.0</v>
      </c>
      <c r="K282" s="43" t="s">
        <v>31</v>
      </c>
      <c r="L282" s="43">
        <v>3.0</v>
      </c>
    </row>
    <row r="283" ht="15.75" customHeight="1">
      <c r="A283" s="16" t="s">
        <v>109</v>
      </c>
      <c r="B283" s="10" t="s">
        <v>126</v>
      </c>
      <c r="C283" s="38"/>
      <c r="D283" s="38"/>
      <c r="E283" s="38"/>
      <c r="F283" s="38"/>
      <c r="G283" s="38"/>
      <c r="H283" s="38"/>
      <c r="I283" s="38"/>
      <c r="J283" s="38"/>
      <c r="K283" s="38"/>
      <c r="L283" s="40"/>
    </row>
    <row r="284" ht="15.75" customHeight="1">
      <c r="A284" s="16" t="s">
        <v>111</v>
      </c>
      <c r="B284" s="10" t="s">
        <v>127</v>
      </c>
      <c r="C284" s="38"/>
      <c r="D284" s="38"/>
      <c r="E284" s="38"/>
      <c r="F284" s="38"/>
      <c r="G284" s="38"/>
      <c r="H284" s="38"/>
      <c r="I284" s="38"/>
      <c r="J284" s="38"/>
      <c r="K284" s="38"/>
      <c r="L284" s="40"/>
    </row>
    <row r="285" ht="15.75" customHeight="1"/>
    <row r="286" ht="15.75" customHeight="1">
      <c r="A286" s="116" t="s">
        <v>85</v>
      </c>
      <c r="B286" s="38"/>
      <c r="C286" s="38"/>
      <c r="D286" s="38"/>
      <c r="E286" s="38"/>
      <c r="F286" s="38"/>
      <c r="G286" s="38"/>
      <c r="H286" s="38"/>
      <c r="I286" s="38"/>
      <c r="J286" s="38"/>
      <c r="K286" s="39" t="s">
        <v>178</v>
      </c>
      <c r="L286" s="40"/>
    </row>
    <row r="287" ht="15.75" customHeight="1">
      <c r="A287" s="4" t="s">
        <v>92</v>
      </c>
      <c r="B287" s="4" t="s">
        <v>93</v>
      </c>
      <c r="C287" s="4" t="s">
        <v>94</v>
      </c>
      <c r="D287" s="4" t="s">
        <v>41</v>
      </c>
      <c r="E287" s="4" t="s">
        <v>95</v>
      </c>
      <c r="F287" s="4" t="s">
        <v>96</v>
      </c>
      <c r="G287" s="4" t="s">
        <v>97</v>
      </c>
      <c r="H287" s="4" t="s">
        <v>55</v>
      </c>
      <c r="I287" s="4" t="s">
        <v>47</v>
      </c>
      <c r="J287" s="4" t="s">
        <v>98</v>
      </c>
      <c r="K287" s="4" t="s">
        <v>28</v>
      </c>
      <c r="L287" s="4" t="s">
        <v>99</v>
      </c>
    </row>
    <row r="288" ht="15.75" customHeight="1">
      <c r="A288" s="25" t="s">
        <v>106</v>
      </c>
      <c r="B288" s="5" t="s">
        <v>101</v>
      </c>
      <c r="C288" s="5">
        <v>8.0</v>
      </c>
      <c r="D288" s="5"/>
      <c r="E288" s="5"/>
      <c r="F288" s="5"/>
      <c r="G288" s="25">
        <f t="shared" ref="G288:G290" si="53">IF(AND(D288&lt;&gt;"",E288&lt;&gt;""),D288*E288,0)</f>
        <v>0</v>
      </c>
      <c r="H288" s="22" t="str">
        <f t="shared" ref="H288:H290" si="54">IF(AND(D288&lt;&gt;"",E288&lt;&gt;""),ROUND(D288*(1+E288/30),1),"")</f>
        <v/>
      </c>
      <c r="I288" s="5"/>
      <c r="J288" s="5"/>
      <c r="K288" s="5"/>
      <c r="L288" s="5"/>
    </row>
    <row r="289" ht="15.75" customHeight="1">
      <c r="A289" s="25" t="s">
        <v>107</v>
      </c>
      <c r="B289" s="5" t="s">
        <v>101</v>
      </c>
      <c r="C289" s="5">
        <v>8.0</v>
      </c>
      <c r="D289" s="5"/>
      <c r="E289" s="5"/>
      <c r="F289" s="5"/>
      <c r="G289" s="25">
        <f t="shared" si="53"/>
        <v>0</v>
      </c>
      <c r="H289" s="22" t="str">
        <f t="shared" si="54"/>
        <v/>
      </c>
      <c r="I289" s="5"/>
      <c r="J289" s="5"/>
      <c r="K289" s="5"/>
      <c r="L289" s="5"/>
    </row>
    <row r="290" ht="15.75" customHeight="1">
      <c r="A290" s="25" t="s">
        <v>189</v>
      </c>
      <c r="B290" s="5" t="s">
        <v>101</v>
      </c>
      <c r="C290" s="5">
        <v>8.0</v>
      </c>
      <c r="D290" s="5"/>
      <c r="E290" s="5"/>
      <c r="F290" s="5"/>
      <c r="G290" s="25">
        <f t="shared" si="53"/>
        <v>0</v>
      </c>
      <c r="H290" s="22" t="str">
        <f t="shared" si="54"/>
        <v/>
      </c>
      <c r="I290" s="5"/>
      <c r="J290" s="5"/>
      <c r="K290" s="5"/>
      <c r="L290" s="5"/>
    </row>
    <row r="291" ht="15.75" customHeight="1">
      <c r="A291" s="9" t="s">
        <v>108</v>
      </c>
      <c r="B291" s="10"/>
      <c r="C291" s="10"/>
      <c r="D291" s="10"/>
      <c r="E291" s="10"/>
      <c r="F291" s="10"/>
      <c r="G291" s="9">
        <f>G288+G289+G290</f>
        <v>0</v>
      </c>
      <c r="H291" s="42">
        <f>MAX(H288,H289,H290)</f>
        <v>0</v>
      </c>
      <c r="I291" s="10"/>
      <c r="J291" s="43">
        <v>4.0</v>
      </c>
      <c r="K291" s="43" t="s">
        <v>36</v>
      </c>
      <c r="L291" s="43">
        <v>3.0</v>
      </c>
    </row>
    <row r="292" ht="15.75" customHeight="1">
      <c r="A292" s="16" t="s">
        <v>109</v>
      </c>
      <c r="B292" s="10" t="s">
        <v>129</v>
      </c>
      <c r="C292" s="38"/>
      <c r="D292" s="38"/>
      <c r="E292" s="38"/>
      <c r="F292" s="38"/>
      <c r="G292" s="38"/>
      <c r="H292" s="38"/>
      <c r="I292" s="38"/>
      <c r="J292" s="38"/>
      <c r="K292" s="38"/>
      <c r="L292" s="40"/>
    </row>
    <row r="293" ht="15.75" customHeight="1">
      <c r="A293" s="16" t="s">
        <v>111</v>
      </c>
      <c r="B293" s="10" t="s">
        <v>130</v>
      </c>
      <c r="C293" s="38"/>
      <c r="D293" s="38"/>
      <c r="E293" s="38"/>
      <c r="F293" s="38"/>
      <c r="G293" s="38"/>
      <c r="H293" s="38"/>
      <c r="I293" s="38"/>
      <c r="J293" s="38"/>
      <c r="K293" s="38"/>
      <c r="L293" s="40"/>
    </row>
    <row r="294" ht="15.75" customHeight="1"/>
    <row r="295" ht="15.75" customHeight="1">
      <c r="A295" s="116" t="s">
        <v>153</v>
      </c>
      <c r="B295" s="38"/>
      <c r="C295" s="38"/>
      <c r="D295" s="38"/>
      <c r="E295" s="38"/>
      <c r="F295" s="38"/>
      <c r="G295" s="38"/>
      <c r="H295" s="38"/>
      <c r="I295" s="38"/>
      <c r="J295" s="38"/>
      <c r="K295" s="39" t="s">
        <v>184</v>
      </c>
      <c r="L295" s="40"/>
    </row>
    <row r="296" ht="15.75" customHeight="1">
      <c r="A296" s="4" t="s">
        <v>92</v>
      </c>
      <c r="B296" s="4" t="s">
        <v>93</v>
      </c>
      <c r="C296" s="4" t="s">
        <v>94</v>
      </c>
      <c r="D296" s="4" t="s">
        <v>41</v>
      </c>
      <c r="E296" s="4" t="s">
        <v>95</v>
      </c>
      <c r="F296" s="4" t="s">
        <v>96</v>
      </c>
      <c r="G296" s="4" t="s">
        <v>97</v>
      </c>
      <c r="H296" s="4" t="s">
        <v>55</v>
      </c>
      <c r="I296" s="4" t="s">
        <v>47</v>
      </c>
      <c r="J296" s="4" t="s">
        <v>98</v>
      </c>
      <c r="K296" s="4" t="s">
        <v>28</v>
      </c>
      <c r="L296" s="4" t="s">
        <v>99</v>
      </c>
    </row>
    <row r="297" ht="15.75" customHeight="1">
      <c r="A297" s="25" t="s">
        <v>106</v>
      </c>
      <c r="B297" s="5" t="s">
        <v>101</v>
      </c>
      <c r="C297" s="5">
        <v>8.0</v>
      </c>
      <c r="D297" s="5"/>
      <c r="E297" s="5"/>
      <c r="F297" s="5"/>
      <c r="G297" s="25">
        <f t="shared" ref="G297:G299" si="55">IF(AND(D297&lt;&gt;"",E297&lt;&gt;""),D297*E297,0)</f>
        <v>0</v>
      </c>
      <c r="H297" s="22" t="str">
        <f t="shared" ref="H297:H299" si="56">IF(AND(D297&lt;&gt;"",E297&lt;&gt;""),ROUND(D297*(1+E297/30),1),"")</f>
        <v/>
      </c>
      <c r="I297" s="5"/>
      <c r="J297" s="5"/>
      <c r="K297" s="5"/>
      <c r="L297" s="5"/>
    </row>
    <row r="298" ht="15.75" customHeight="1">
      <c r="A298" s="25" t="s">
        <v>107</v>
      </c>
      <c r="B298" s="5" t="s">
        <v>101</v>
      </c>
      <c r="C298" s="5">
        <v>8.0</v>
      </c>
      <c r="D298" s="5"/>
      <c r="E298" s="5"/>
      <c r="F298" s="5"/>
      <c r="G298" s="25">
        <f t="shared" si="55"/>
        <v>0</v>
      </c>
      <c r="H298" s="22" t="str">
        <f t="shared" si="56"/>
        <v/>
      </c>
      <c r="I298" s="5"/>
      <c r="J298" s="5"/>
      <c r="K298" s="5"/>
      <c r="L298" s="5"/>
    </row>
    <row r="299" ht="15.75" customHeight="1">
      <c r="A299" s="25" t="s">
        <v>189</v>
      </c>
      <c r="B299" s="5" t="s">
        <v>101</v>
      </c>
      <c r="C299" s="5">
        <v>8.0</v>
      </c>
      <c r="D299" s="5"/>
      <c r="E299" s="5"/>
      <c r="F299" s="5"/>
      <c r="G299" s="25">
        <f t="shared" si="55"/>
        <v>0</v>
      </c>
      <c r="H299" s="22" t="str">
        <f t="shared" si="56"/>
        <v/>
      </c>
      <c r="I299" s="5"/>
      <c r="J299" s="5"/>
      <c r="K299" s="5"/>
      <c r="L299" s="5"/>
    </row>
    <row r="300" ht="15.75" customHeight="1">
      <c r="A300" s="9" t="s">
        <v>108</v>
      </c>
      <c r="B300" s="10"/>
      <c r="C300" s="10"/>
      <c r="D300" s="10"/>
      <c r="E300" s="10"/>
      <c r="F300" s="10"/>
      <c r="G300" s="9">
        <f>G297+G298+G299</f>
        <v>0</v>
      </c>
      <c r="H300" s="42">
        <f>MAX(H297,H298,H299)</f>
        <v>0</v>
      </c>
      <c r="I300" s="10"/>
      <c r="J300" s="43">
        <v>4.0</v>
      </c>
      <c r="K300" s="43" t="s">
        <v>36</v>
      </c>
      <c r="L300" s="43">
        <v>3.0</v>
      </c>
    </row>
    <row r="301" ht="15.75" customHeight="1">
      <c r="A301" s="16" t="s">
        <v>109</v>
      </c>
      <c r="B301" s="10" t="s">
        <v>179</v>
      </c>
      <c r="C301" s="38"/>
      <c r="D301" s="38"/>
      <c r="E301" s="38"/>
      <c r="F301" s="38"/>
      <c r="G301" s="38"/>
      <c r="H301" s="38"/>
      <c r="I301" s="38"/>
      <c r="J301" s="38"/>
      <c r="K301" s="38"/>
      <c r="L301" s="40"/>
    </row>
    <row r="302" ht="15.75" customHeight="1">
      <c r="A302" s="16" t="s">
        <v>111</v>
      </c>
      <c r="B302" s="10" t="s">
        <v>180</v>
      </c>
      <c r="C302" s="38"/>
      <c r="D302" s="38"/>
      <c r="E302" s="38"/>
      <c r="F302" s="38"/>
      <c r="G302" s="38"/>
      <c r="H302" s="38"/>
      <c r="I302" s="38"/>
      <c r="J302" s="38"/>
      <c r="K302" s="38"/>
      <c r="L302" s="40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mergeCells count="21">
    <mergeCell ref="A1:L1"/>
    <mergeCell ref="A3:L4"/>
    <mergeCell ref="C6:F6"/>
    <mergeCell ref="C7:F7"/>
    <mergeCell ref="C8:F8"/>
    <mergeCell ref="C9:F9"/>
    <mergeCell ref="C10:F10"/>
    <mergeCell ref="A49:C49"/>
    <mergeCell ref="A60:C60"/>
    <mergeCell ref="A71:C71"/>
    <mergeCell ref="A90:C90"/>
    <mergeCell ref="A105:L105"/>
    <mergeCell ref="A172:L172"/>
    <mergeCell ref="A239:L239"/>
    <mergeCell ref="C11:F11"/>
    <mergeCell ref="C12:F12"/>
    <mergeCell ref="C13:F13"/>
    <mergeCell ref="A16:L16"/>
    <mergeCell ref="A18:C18"/>
    <mergeCell ref="A29:C29"/>
    <mergeCell ref="A38:C3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2025-12-02T17:26:18Z</dcterms:created>
  <dc:creator>openpyxl</dc:creator>
</cp:coreProperties>
</file>